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onali\Desktop\"/>
    </mc:Choice>
  </mc:AlternateContent>
  <xr:revisionPtr revIDLastSave="0" documentId="13_ncr:1_{14630258-19EF-4AAE-A591-791548D95255}" xr6:coauthVersionLast="47" xr6:coauthVersionMax="47" xr10:uidLastSave="{00000000-0000-0000-0000-000000000000}"/>
  <bookViews>
    <workbookView xWindow="-120" yWindow="-120" windowWidth="29040" windowHeight="15720" xr2:uid="{431BDCB2-3DCB-4725-A366-D9247B8D6F2A}"/>
  </bookViews>
  <sheets>
    <sheet name="Cashbook" sheetId="3" r:id="rId1"/>
  </sheets>
  <definedNames>
    <definedName name="ExternalData_1" localSheetId="0" hidden="1">Cashbook!$A$8:$K$18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" i="3" l="1"/>
  <c r="G11" i="3"/>
  <c r="G12" i="3"/>
  <c r="G13" i="3"/>
  <c r="G14" i="3"/>
  <c r="G15" i="3"/>
  <c r="G16" i="3"/>
  <c r="G17" i="3"/>
  <c r="G18" i="3"/>
  <c r="G9" i="3"/>
  <c r="F10" i="3"/>
  <c r="F11" i="3"/>
  <c r="F12" i="3"/>
  <c r="F13" i="3"/>
  <c r="F14" i="3"/>
  <c r="F15" i="3"/>
  <c r="F16" i="3"/>
  <c r="F17" i="3"/>
  <c r="F18" i="3"/>
  <c r="F9" i="3"/>
  <c r="I10" i="3"/>
  <c r="I11" i="3"/>
  <c r="I20" i="3" s="1"/>
  <c r="I12" i="3"/>
  <c r="I13" i="3"/>
  <c r="I14" i="3"/>
  <c r="I15" i="3"/>
  <c r="I16" i="3"/>
  <c r="I17" i="3"/>
  <c r="I18" i="3"/>
  <c r="I9" i="3"/>
  <c r="E10" i="3"/>
  <c r="E11" i="3"/>
  <c r="E12" i="3"/>
  <c r="E13" i="3"/>
  <c r="E14" i="3"/>
  <c r="E15" i="3"/>
  <c r="E16" i="3"/>
  <c r="E17" i="3"/>
  <c r="E18" i="3"/>
  <c r="E9" i="3"/>
  <c r="I21" i="3"/>
  <c r="J21" i="3"/>
  <c r="K21" i="3"/>
  <c r="H21" i="3"/>
  <c r="K10" i="3"/>
  <c r="K11" i="3"/>
  <c r="K20" i="3" s="1"/>
  <c r="K12" i="3"/>
  <c r="K13" i="3"/>
  <c r="K14" i="3"/>
  <c r="K15" i="3"/>
  <c r="K16" i="3"/>
  <c r="K17" i="3"/>
  <c r="K18" i="3"/>
  <c r="J10" i="3"/>
  <c r="J11" i="3"/>
  <c r="J20" i="3" s="1"/>
  <c r="J12" i="3"/>
  <c r="J13" i="3"/>
  <c r="J14" i="3"/>
  <c r="J15" i="3"/>
  <c r="J16" i="3"/>
  <c r="J17" i="3"/>
  <c r="J18" i="3"/>
  <c r="K9" i="3"/>
  <c r="J9" i="3"/>
  <c r="H10" i="3"/>
  <c r="H11" i="3"/>
  <c r="H20" i="3" s="1"/>
  <c r="H12" i="3"/>
  <c r="H13" i="3"/>
  <c r="H14" i="3"/>
  <c r="H15" i="3"/>
  <c r="H16" i="3"/>
  <c r="H17" i="3"/>
  <c r="H18" i="3"/>
  <c r="H9" i="3"/>
  <c r="D19" i="3"/>
  <c r="E19" i="3" l="1"/>
  <c r="H19" i="3"/>
  <c r="K19" i="3"/>
  <c r="F19" i="3"/>
  <c r="J19" i="3"/>
  <c r="I19" i="3"/>
  <c r="B24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F810CCA-3617-47DD-8131-63D0A7BAD85F}" keepAlive="1" name="Query - Cashbook_v1" description="Connection to the 'Cashbook_v1' query in the workbook." type="5" refreshedVersion="8" background="1" saveData="1">
    <dbPr connection="Provider=Microsoft.Mashup.OleDb.1;Data Source=$Workbook$;Location=Cashbook_v1;Extended Properties=&quot;&quot;" command="SELECT * FROM [Cashbook_v1]"/>
  </connection>
</connections>
</file>

<file path=xl/sharedStrings.xml><?xml version="1.0" encoding="utf-8"?>
<sst xmlns="http://schemas.openxmlformats.org/spreadsheetml/2006/main" count="27" uniqueCount="23">
  <si>
    <t>Wages</t>
  </si>
  <si>
    <t>Electricity</t>
  </si>
  <si>
    <t>Rent</t>
  </si>
  <si>
    <t>Vehicle Expenses</t>
  </si>
  <si>
    <t>Oliver Trading Cashbook</t>
  </si>
  <si>
    <t>Month</t>
  </si>
  <si>
    <t>Expense Distribution</t>
  </si>
  <si>
    <t>Expense Categries</t>
  </si>
  <si>
    <t>W</t>
  </si>
  <si>
    <t>V</t>
  </si>
  <si>
    <t>R</t>
  </si>
  <si>
    <t>E</t>
  </si>
  <si>
    <t>Count</t>
  </si>
  <si>
    <t>Average</t>
  </si>
  <si>
    <t>Total Budget</t>
  </si>
  <si>
    <t>Deficit/Surplus</t>
  </si>
  <si>
    <t>Date</t>
  </si>
  <si>
    <t>Cheque No</t>
  </si>
  <si>
    <t>Code</t>
  </si>
  <si>
    <t>Amount</t>
  </si>
  <si>
    <t>GST</t>
  </si>
  <si>
    <t>Payment Amount</t>
  </si>
  <si>
    <t>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</si>
</sst>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$-45C]#,##0.00"/>
    <numFmt numFmtId="165" formatCode="[$$-C09]#,##0.00"/>
  </numFmts>
  <fonts count="7"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i/>
      <sz val="18"/>
      <color theme="1"/>
      <name val="Calibri"/>
      <family val="2"/>
    </font>
    <font>
      <b/>
      <sz val="16"/>
      <color theme="1"/>
      <name val="Calibri"/>
      <family val="2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sz val="12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</fills>
  <borders count="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0" fontId="5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6" fillId="2" borderId="1" xfId="0" applyFont="1" applyFill="1" applyBorder="1" applyAlignment="1">
      <alignment horizontal="left" vertical="center" wrapText="1"/>
    </xf>
    <xf numFmtId="0" fontId="1" fillId="2" borderId="1" xfId="0" applyFont="1" applyFill="1" applyBorder="1" applyAlignment="1">
      <alignment horizontal="left" vertical="center" wrapText="1"/>
    </xf>
    <xf numFmtId="4" fontId="1" fillId="2" borderId="1" xfId="0" applyNumberFormat="1" applyFont="1" applyFill="1" applyBorder="1" applyAlignment="1">
      <alignment horizontal="right" vertical="center" wrapText="1"/>
    </xf>
    <xf numFmtId="165" fontId="1" fillId="0" borderId="1" xfId="0" applyNumberFormat="1" applyFont="1" applyBorder="1" applyAlignment="1">
      <alignment horizontal="right" vertical="center" wrapText="1"/>
    </xf>
    <xf numFmtId="0" fontId="1" fillId="0" borderId="1" xfId="0" applyFont="1" applyBorder="1" applyAlignment="1">
      <alignment horizontal="left" vertical="center" wrapText="1"/>
    </xf>
    <xf numFmtId="0" fontId="0" fillId="0" borderId="1" xfId="0" applyFont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4" fontId="1" fillId="0" borderId="1" xfId="0" applyNumberFormat="1" applyFont="1" applyBorder="1" applyAlignment="1">
      <alignment vertical="center" wrapText="1"/>
    </xf>
    <xf numFmtId="0" fontId="0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2" fontId="1" fillId="0" borderId="0" xfId="0" applyNumberFormat="1" applyFont="1" applyAlignment="1">
      <alignment vertical="center" wrapText="1"/>
    </xf>
    <xf numFmtId="165" fontId="1" fillId="0" borderId="0" xfId="0" applyNumberFormat="1" applyFont="1" applyAlignment="1">
      <alignment vertical="center" wrapText="1"/>
    </xf>
    <xf numFmtId="0" fontId="1" fillId="0" borderId="2" xfId="0" applyFont="1" applyBorder="1" applyAlignment="1">
      <alignment vertical="center" wrapText="1"/>
    </xf>
    <xf numFmtId="164" fontId="1" fillId="0" borderId="2" xfId="0" applyNumberFormat="1" applyFont="1" applyBorder="1" applyAlignment="1">
      <alignment vertical="center" wrapText="1"/>
    </xf>
    <xf numFmtId="164" fontId="1" fillId="0" borderId="0" xfId="0" applyNumberFormat="1" applyFont="1" applyAlignment="1">
      <alignment vertical="center" wrapText="1"/>
    </xf>
  </cellXfs>
  <cellStyles count="1">
    <cellStyle name="Normal" xfId="0" builtinId="0"/>
  </cellStyles>
  <dxfs count="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$-C09]#,##0.00"/>
      <alignment horizontal="right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$-C09]#,##0.00"/>
      <alignment horizontal="right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$-C09]#,##0.00"/>
      <alignment horizontal="right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$-C09]#,##0.00"/>
      <alignment horizontal="right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4" formatCode="#,##0.00"/>
      <alignment horizontal="general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$-C09]#,##0.00"/>
      <alignment horizontal="right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$-C09]#,##0.00"/>
      <alignment horizontal="right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$-C09]#,##0.00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$-C09]#,##0.00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ill>
        <patternFill patternType="solid">
          <fgColor indexed="64"/>
          <bgColor rgb="FFADD8E6"/>
        </patternFill>
      </fill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$-C09]#,##0.00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$-C09]#,##0.00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$-C09]#,##0.00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$-C09]#,##0.00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4" formatCode="#,##0.00"/>
      <fill>
        <patternFill patternType="solid">
          <fgColor indexed="64"/>
          <bgColor rgb="FFADD8E6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indexed="64"/>
          <bgColor rgb="FFADD8E6"/>
        </patternFill>
      </fill>
      <alignment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indexed="64"/>
          <bgColor rgb="FFADD8E6"/>
        </patternFill>
      </fill>
      <alignment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</font>
      <numFmt numFmtId="0" formatCode="General"/>
      <fill>
        <patternFill patternType="solid">
          <fgColor indexed="64"/>
          <bgColor rgb="FFADD8E6"/>
        </patternFill>
      </fill>
      <alignment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</dxfs>
  <tableStyles count="0" defaultTableStyle="TableStyleMedium2" defaultPivotStyle="PivotStyleLight16"/>
  <colors>
    <mruColors>
      <color rgb="FFADD8E6"/>
      <color rgb="FFAFEE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</xdr:colOff>
      <xdr:row>2</xdr:row>
      <xdr:rowOff>85725</xdr:rowOff>
    </xdr:from>
    <xdr:to>
      <xdr:col>10</xdr:col>
      <xdr:colOff>501342</xdr:colOff>
      <xdr:row>5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426F839-781D-A932-A966-F3A3E0F81A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51" y="676275"/>
          <a:ext cx="501341" cy="771525"/>
        </a:xfrm>
        <a:prstGeom prst="rect">
          <a:avLst/>
        </a:prstGeom>
        <a:ln>
          <a:noFill/>
        </a:ln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D0D9570-235B-479B-A873-3F8038995F1A}" autoFormatId="16" applyNumberFormats="0" applyBorderFormats="0" applyFontFormats="0" applyPatternFormats="0" applyAlignmentFormats="0" applyWidthHeightFormats="0">
  <queryTableRefresh nextId="13">
    <queryTableFields count="11">
      <queryTableField id="1" name="Date" tableColumnId="1"/>
      <queryTableField id="2" name="Cheque No" tableColumnId="2"/>
      <queryTableField id="3" name="Code" tableColumnId="3"/>
      <queryTableField id="4" name="Amount" tableColumnId="4"/>
      <queryTableField id="5" name="GST" tableColumnId="5"/>
      <queryTableField id="6" name="Payment Amount" tableColumnId="6"/>
      <queryTableField id="7" name="Description" tableColumnId="7"/>
      <queryTableField id="8" name="Wages" tableColumnId="8"/>
      <queryTableField id="9" name="Electricity" tableColumnId="9"/>
      <queryTableField id="10" name="Rent" tableColumnId="10"/>
      <queryTableField id="11" name="Vehicle Expenses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BD96AAF-265D-4D67-87BD-FC4F16547457}" name="Cashbook_v1" displayName="Cashbook_v1" ref="A8:K19" tableType="queryTable" totalsRowCount="1" headerRowDxfId="16" dataDxfId="14" totalsRowDxfId="15">
  <autoFilter ref="A8:K18" xr:uid="{BBD96AAF-265D-4D67-87BD-FC4F1654745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8B853043-202C-4F41-8583-2D4414A8FFA8}" uniqueName="1" name="Date" queryTableFieldId="1" dataDxfId="24" totalsRowDxfId="10"/>
    <tableColumn id="2" xr3:uid="{9388C31F-27DE-4F5A-85AC-9400EAB81E06}" uniqueName="2" name="Cheque No" queryTableFieldId="2" dataDxfId="23" totalsRowDxfId="9"/>
    <tableColumn id="3" xr3:uid="{A23F348D-F4FD-4234-BCA2-7CC0390045A8}" uniqueName="3" name="Code" queryTableFieldId="3" dataDxfId="22" totalsRowDxfId="8"/>
    <tableColumn id="4" xr3:uid="{C1635983-BC71-41E5-9B3A-D25CFC0FA8CA}" uniqueName="4" name="Amount" totalsRowFunction="custom" queryTableFieldId="4" dataDxfId="21" totalsRowDxfId="7">
      <totalsRowFormula>SUM(Cashbook_v1[Amount])</totalsRowFormula>
    </tableColumn>
    <tableColumn id="5" xr3:uid="{2C046F2B-D9A0-487A-88A3-7B63FE8DE806}" uniqueName="5" name="GST" totalsRowFunction="custom" queryTableFieldId="5" dataDxfId="13" totalsRowDxfId="6">
      <totalsRowFormula>SUM(Cashbook_v1[GST])</totalsRowFormula>
    </tableColumn>
    <tableColumn id="6" xr3:uid="{8561E767-C2E4-450B-AC6D-A30B969E5DAA}" uniqueName="6" name="Payment Amount" totalsRowFunction="custom" queryTableFieldId="6" dataDxfId="11" totalsRowDxfId="5">
      <totalsRowFormula>SUM(Cashbook_v1[Payment Amount])</totalsRowFormula>
    </tableColumn>
    <tableColumn id="7" xr3:uid="{CFF1BD9F-6D64-405B-ABFB-F2C3A1E9AA4A}" uniqueName="7" name="Description" queryTableFieldId="7" dataDxfId="12" totalsRowDxfId="4"/>
    <tableColumn id="8" xr3:uid="{DC4403FD-C97D-4BC7-A24A-69228070752A}" uniqueName="8" name="Wages" totalsRowFunction="custom" queryTableFieldId="8" dataDxfId="20" totalsRowDxfId="3">
      <totalsRowFormula>SUM(Cashbook_v1[Wages])</totalsRowFormula>
    </tableColumn>
    <tableColumn id="9" xr3:uid="{E68602E3-8089-4EC4-B45C-CCED6CCD5E5A}" uniqueName="9" name="Electricity" totalsRowFunction="custom" queryTableFieldId="9" dataDxfId="19" totalsRowDxfId="2">
      <totalsRowFormula>SUM(Cashbook_v1[Electricity])</totalsRowFormula>
    </tableColumn>
    <tableColumn id="10" xr3:uid="{29F76057-1340-4D1D-B58B-44D7E66CDA3F}" uniqueName="10" name="Rent" totalsRowFunction="custom" queryTableFieldId="10" dataDxfId="18" totalsRowDxfId="1">
      <totalsRowFormula>SUM(Cashbook_v1[Rent])</totalsRowFormula>
    </tableColumn>
    <tableColumn id="11" xr3:uid="{92383CC8-EA8E-47F4-A600-FDE7035FCCD2}" uniqueName="11" name="Vehicle Expenses" totalsRowFunction="custom" queryTableFieldId="11" dataDxfId="17" totalsRowDxfId="0">
      <totalsRowFormula>SUM(Cashbook_v1[Vehicle Expenses])</totalsRowFormula>
    </tableColumn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020FA-84A8-401C-8171-332A0FCD62E3}">
  <sheetPr codeName="Sheet1">
    <pageSetUpPr fitToPage="1"/>
  </sheetPr>
  <dimension ref="A1:K44"/>
  <sheetViews>
    <sheetView tabSelected="1" zoomScaleNormal="100" workbookViewId="0">
      <selection activeCell="L9" sqref="L9"/>
    </sheetView>
  </sheetViews>
  <sheetFormatPr defaultRowHeight="14.25"/>
  <cols>
    <col min="1" max="1" width="10.5" customWidth="1"/>
    <col min="2" max="2" width="10.125" customWidth="1"/>
    <col min="3" max="3" width="7.375" customWidth="1"/>
    <col min="4" max="4" width="14" bestFit="1" customWidth="1"/>
    <col min="5" max="5" width="9.625" customWidth="1"/>
    <col min="6" max="6" width="9.875" customWidth="1"/>
    <col min="7" max="7" width="12.625" bestFit="1" customWidth="1"/>
    <col min="8" max="8" width="8.5" bestFit="1" customWidth="1"/>
    <col min="9" max="9" width="9.375" customWidth="1"/>
    <col min="10" max="10" width="9.25" customWidth="1"/>
    <col min="11" max="11" width="10.625" customWidth="1"/>
  </cols>
  <sheetData>
    <row r="1" spans="1:11" ht="23.25">
      <c r="A1" s="3"/>
      <c r="B1" s="3"/>
      <c r="C1" s="3"/>
      <c r="D1" s="3"/>
      <c r="E1" s="3"/>
      <c r="F1" s="3"/>
      <c r="G1" s="3"/>
      <c r="H1" s="3"/>
      <c r="I1" s="3"/>
      <c r="J1" s="3"/>
      <c r="K1" s="3"/>
    </row>
    <row r="2" spans="1:11" ht="23.25">
      <c r="A2" s="2"/>
      <c r="B2" s="2"/>
      <c r="C2" s="2"/>
      <c r="D2" s="2"/>
      <c r="E2" s="2"/>
      <c r="F2" s="2"/>
      <c r="G2" s="2"/>
      <c r="H2" s="2"/>
      <c r="I2" s="2"/>
      <c r="J2" s="2"/>
      <c r="K2" s="2"/>
    </row>
    <row r="3" spans="1:11" ht="23.25" customHeight="1">
      <c r="A3" s="4" t="s">
        <v>4</v>
      </c>
      <c r="B3" s="4"/>
      <c r="C3" s="4"/>
      <c r="D3" s="4"/>
      <c r="E3" s="4"/>
      <c r="F3" s="4"/>
      <c r="G3" s="4"/>
      <c r="H3" s="4"/>
      <c r="I3" s="4"/>
      <c r="J3" s="4"/>
      <c r="K3" s="4"/>
    </row>
    <row r="4" spans="1:11" ht="23.25" customHeight="1">
      <c r="A4" s="4"/>
      <c r="B4" s="4"/>
      <c r="C4" s="4"/>
      <c r="D4" s="4"/>
      <c r="E4" s="4"/>
      <c r="F4" s="4"/>
      <c r="G4" s="4"/>
      <c r="H4" s="4"/>
      <c r="I4" s="4"/>
      <c r="J4" s="4"/>
      <c r="K4" s="4"/>
    </row>
    <row r="5" spans="1:11" ht="21" customHeight="1">
      <c r="A5" s="4"/>
      <c r="B5" s="4"/>
      <c r="C5" s="4"/>
      <c r="D5" s="4"/>
      <c r="E5" s="4"/>
      <c r="F5" s="4"/>
      <c r="G5" s="4"/>
      <c r="H5" s="4"/>
      <c r="I5" s="4"/>
      <c r="J5" s="4"/>
      <c r="K5" s="4"/>
    </row>
    <row r="6" spans="1:11" ht="18.75">
      <c r="A6" s="7" t="s">
        <v>5</v>
      </c>
      <c r="B6" s="7"/>
      <c r="C6" s="7"/>
      <c r="D6" s="7"/>
      <c r="E6" s="7"/>
      <c r="F6" s="7"/>
      <c r="G6" s="7"/>
      <c r="H6" s="7"/>
      <c r="I6" s="7"/>
      <c r="J6" s="7"/>
      <c r="K6" s="7"/>
    </row>
    <row r="7" spans="1:11" ht="15.75">
      <c r="A7" s="8" t="s">
        <v>6</v>
      </c>
      <c r="B7" s="8"/>
      <c r="C7" s="8"/>
      <c r="D7" s="8"/>
      <c r="E7" s="8"/>
      <c r="F7" s="8"/>
      <c r="G7" s="8"/>
      <c r="H7" s="8" t="s">
        <v>7</v>
      </c>
      <c r="I7" s="8"/>
      <c r="J7" s="8"/>
      <c r="K7" s="8"/>
    </row>
    <row r="8" spans="1:11" ht="31.5">
      <c r="A8" s="9" t="s">
        <v>16</v>
      </c>
      <c r="B8" s="9" t="s">
        <v>17</v>
      </c>
      <c r="C8" s="9" t="s">
        <v>18</v>
      </c>
      <c r="D8" s="9" t="s">
        <v>19</v>
      </c>
      <c r="E8" s="9" t="s">
        <v>20</v>
      </c>
      <c r="F8" s="9" t="s">
        <v>21</v>
      </c>
      <c r="G8" s="9" t="s">
        <v>22</v>
      </c>
      <c r="H8" s="9" t="s">
        <v>0</v>
      </c>
      <c r="I8" s="9" t="s">
        <v>1</v>
      </c>
      <c r="J8" s="9" t="s">
        <v>2</v>
      </c>
      <c r="K8" s="9" t="s">
        <v>3</v>
      </c>
    </row>
    <row r="9" spans="1:11" ht="15.75">
      <c r="A9" s="10"/>
      <c r="B9" s="11"/>
      <c r="C9" s="11"/>
      <c r="D9" s="12"/>
      <c r="E9" s="13" t="str">
        <f>IF(Cashbook_v1[[#This Row],[Amount]]="","",IF(C9="W", 0, D9 - D9/1.1))</f>
        <v/>
      </c>
      <c r="F9" s="13" t="str">
        <f>IF(Cashbook_v1[[#This Row],[Amount]]="","",Cashbook_v1[[#This Row],[Amount]]+Cashbook_v1[[#This Row],[GST]])</f>
        <v/>
      </c>
      <c r="G9" s="14" t="str">
        <f>IF(Cashbook_v1[[#This Row],[Code]]="","",VLOOKUP(Cashbook_v1[[#This Row],[Code]],$F$23:$G$27,2))</f>
        <v/>
      </c>
      <c r="H9" s="13" t="str">
        <f>IF(C9="W", D9, "")</f>
        <v/>
      </c>
      <c r="I9" s="13" t="str">
        <f>IF(C9="E", Cashbook_v1[[#This Row],[Amount]], "")</f>
        <v/>
      </c>
      <c r="J9" s="13" t="str">
        <f>IF(C9="R", D9, "")</f>
        <v/>
      </c>
      <c r="K9" s="13" t="str">
        <f>IF(C9="V", D9, "")</f>
        <v/>
      </c>
    </row>
    <row r="10" spans="1:11" ht="15.75">
      <c r="A10" s="10"/>
      <c r="B10" s="11"/>
      <c r="C10" s="11"/>
      <c r="D10" s="12"/>
      <c r="E10" s="13" t="str">
        <f>IF(Cashbook_v1[[#This Row],[Amount]]="","",IF(C10="W", 0, D10 - D10/1.1))</f>
        <v/>
      </c>
      <c r="F10" s="13" t="str">
        <f>IF(Cashbook_v1[[#This Row],[Amount]]="","",Cashbook_v1[[#This Row],[Amount]]+Cashbook_v1[[#This Row],[GST]])</f>
        <v/>
      </c>
      <c r="G10" s="14" t="str">
        <f>IF(Cashbook_v1[[#This Row],[Code]]="","",VLOOKUP(Cashbook_v1[[#This Row],[Code]],$F$23:$G$27,2))</f>
        <v/>
      </c>
      <c r="H10" s="13" t="str">
        <f t="shared" ref="H10:H18" si="0">IF(C10="W", D10, "")</f>
        <v/>
      </c>
      <c r="I10" s="13" t="str">
        <f>IF(C10="E", Cashbook_v1[[#This Row],[Amount]], "")</f>
        <v/>
      </c>
      <c r="J10" s="13" t="str">
        <f t="shared" ref="J10:J18" si="1">IF(C10="R", D10, "")</f>
        <v/>
      </c>
      <c r="K10" s="13" t="str">
        <f t="shared" ref="K10:K18" si="2">IF(C10="V", D10, "")</f>
        <v/>
      </c>
    </row>
    <row r="11" spans="1:11" ht="15.75">
      <c r="A11" s="10"/>
      <c r="B11" s="11"/>
      <c r="C11" s="11"/>
      <c r="D11" s="12"/>
      <c r="E11" s="13" t="str">
        <f>IF(Cashbook_v1[[#This Row],[Amount]]="","",IF(C11="W", 0, D11 - D11/1.1))</f>
        <v/>
      </c>
      <c r="F11" s="13" t="str">
        <f>IF(Cashbook_v1[[#This Row],[Amount]]="","",Cashbook_v1[[#This Row],[Amount]]+Cashbook_v1[[#This Row],[GST]])</f>
        <v/>
      </c>
      <c r="G11" s="14" t="str">
        <f>IF(Cashbook_v1[[#This Row],[Code]]="","",VLOOKUP(Cashbook_v1[[#This Row],[Code]],$F$23:$G$27,2))</f>
        <v/>
      </c>
      <c r="H11" s="13" t="str">
        <f t="shared" si="0"/>
        <v/>
      </c>
      <c r="I11" s="13" t="str">
        <f>IF(C11="E", Cashbook_v1[[#This Row],[Amount]], "")</f>
        <v/>
      </c>
      <c r="J11" s="13" t="str">
        <f t="shared" si="1"/>
        <v/>
      </c>
      <c r="K11" s="13" t="str">
        <f t="shared" si="2"/>
        <v/>
      </c>
    </row>
    <row r="12" spans="1:11" ht="15.75">
      <c r="A12" s="10"/>
      <c r="B12" s="11"/>
      <c r="C12" s="11"/>
      <c r="D12" s="12"/>
      <c r="E12" s="13" t="str">
        <f>IF(Cashbook_v1[[#This Row],[Amount]]="","",IF(C12="W", 0, D12 - D12/1.1))</f>
        <v/>
      </c>
      <c r="F12" s="13" t="str">
        <f>IF(Cashbook_v1[[#This Row],[Amount]]="","",Cashbook_v1[[#This Row],[Amount]]+Cashbook_v1[[#This Row],[GST]])</f>
        <v/>
      </c>
      <c r="G12" s="14" t="str">
        <f>IF(Cashbook_v1[[#This Row],[Code]]="","",VLOOKUP(Cashbook_v1[[#This Row],[Code]],$F$23:$G$27,2))</f>
        <v/>
      </c>
      <c r="H12" s="13" t="str">
        <f t="shared" si="0"/>
        <v/>
      </c>
      <c r="I12" s="13" t="str">
        <f>IF(C12="E", Cashbook_v1[[#This Row],[Amount]], "")</f>
        <v/>
      </c>
      <c r="J12" s="13" t="str">
        <f t="shared" si="1"/>
        <v/>
      </c>
      <c r="K12" s="13" t="str">
        <f t="shared" si="2"/>
        <v/>
      </c>
    </row>
    <row r="13" spans="1:11" ht="15.75">
      <c r="A13" s="10"/>
      <c r="B13" s="11"/>
      <c r="C13" s="11"/>
      <c r="D13" s="12"/>
      <c r="E13" s="13" t="str">
        <f>IF(Cashbook_v1[[#This Row],[Amount]]="","",IF(C13="W", 0, D13 - D13/1.1))</f>
        <v/>
      </c>
      <c r="F13" s="13" t="str">
        <f>IF(Cashbook_v1[[#This Row],[Amount]]="","",Cashbook_v1[[#This Row],[Amount]]+Cashbook_v1[[#This Row],[GST]])</f>
        <v/>
      </c>
      <c r="G13" s="14" t="str">
        <f>IF(Cashbook_v1[[#This Row],[Code]]="","",VLOOKUP(Cashbook_v1[[#This Row],[Code]],$F$23:$G$27,2))</f>
        <v/>
      </c>
      <c r="H13" s="13" t="str">
        <f t="shared" si="0"/>
        <v/>
      </c>
      <c r="I13" s="13" t="str">
        <f>IF(C13="E", Cashbook_v1[[#This Row],[Amount]], "")</f>
        <v/>
      </c>
      <c r="J13" s="13" t="str">
        <f t="shared" si="1"/>
        <v/>
      </c>
      <c r="K13" s="13" t="str">
        <f t="shared" si="2"/>
        <v/>
      </c>
    </row>
    <row r="14" spans="1:11" ht="15.75">
      <c r="A14" s="10"/>
      <c r="B14" s="11"/>
      <c r="C14" s="11"/>
      <c r="D14" s="12"/>
      <c r="E14" s="13" t="str">
        <f>IF(Cashbook_v1[[#This Row],[Amount]]="","",IF(C14="W", 0, D14 - D14/1.1))</f>
        <v/>
      </c>
      <c r="F14" s="13" t="str">
        <f>IF(Cashbook_v1[[#This Row],[Amount]]="","",Cashbook_v1[[#This Row],[Amount]]+Cashbook_v1[[#This Row],[GST]])</f>
        <v/>
      </c>
      <c r="G14" s="14" t="str">
        <f>IF(Cashbook_v1[[#This Row],[Code]]="","",VLOOKUP(Cashbook_v1[[#This Row],[Code]],$F$23:$G$27,2))</f>
        <v/>
      </c>
      <c r="H14" s="13" t="str">
        <f t="shared" si="0"/>
        <v/>
      </c>
      <c r="I14" s="13" t="str">
        <f>IF(C14="E", Cashbook_v1[[#This Row],[Amount]], "")</f>
        <v/>
      </c>
      <c r="J14" s="13" t="str">
        <f t="shared" si="1"/>
        <v/>
      </c>
      <c r="K14" s="13" t="str">
        <f t="shared" si="2"/>
        <v/>
      </c>
    </row>
    <row r="15" spans="1:11" ht="15.75">
      <c r="A15" s="10"/>
      <c r="B15" s="11"/>
      <c r="C15" s="11"/>
      <c r="D15" s="12"/>
      <c r="E15" s="13" t="str">
        <f>IF(Cashbook_v1[[#This Row],[Amount]]="","",IF(C15="W", 0, D15 - D15/1.1))</f>
        <v/>
      </c>
      <c r="F15" s="13" t="str">
        <f>IF(Cashbook_v1[[#This Row],[Amount]]="","",Cashbook_v1[[#This Row],[Amount]]+Cashbook_v1[[#This Row],[GST]])</f>
        <v/>
      </c>
      <c r="G15" s="14" t="str">
        <f>IF(Cashbook_v1[[#This Row],[Code]]="","",VLOOKUP(Cashbook_v1[[#This Row],[Code]],$F$23:$G$27,2))</f>
        <v/>
      </c>
      <c r="H15" s="13" t="str">
        <f t="shared" si="0"/>
        <v/>
      </c>
      <c r="I15" s="13" t="str">
        <f>IF(C15="E", Cashbook_v1[[#This Row],[Amount]], "")</f>
        <v/>
      </c>
      <c r="J15" s="13" t="str">
        <f t="shared" si="1"/>
        <v/>
      </c>
      <c r="K15" s="13" t="str">
        <f t="shared" si="2"/>
        <v/>
      </c>
    </row>
    <row r="16" spans="1:11" ht="15.75">
      <c r="A16" s="10"/>
      <c r="B16" s="11"/>
      <c r="C16" s="11"/>
      <c r="D16" s="12"/>
      <c r="E16" s="13" t="str">
        <f>IF(Cashbook_v1[[#This Row],[Amount]]="","",IF(C16="W", 0, D16 - D16/1.1))</f>
        <v/>
      </c>
      <c r="F16" s="13" t="str">
        <f>IF(Cashbook_v1[[#This Row],[Amount]]="","",Cashbook_v1[[#This Row],[Amount]]+Cashbook_v1[[#This Row],[GST]])</f>
        <v/>
      </c>
      <c r="G16" s="14" t="str">
        <f>IF(Cashbook_v1[[#This Row],[Code]]="","",VLOOKUP(Cashbook_v1[[#This Row],[Code]],$F$23:$G$27,2))</f>
        <v/>
      </c>
      <c r="H16" s="13" t="str">
        <f t="shared" si="0"/>
        <v/>
      </c>
      <c r="I16" s="13" t="str">
        <f>IF(C16="E", Cashbook_v1[[#This Row],[Amount]], "")</f>
        <v/>
      </c>
      <c r="J16" s="13" t="str">
        <f t="shared" si="1"/>
        <v/>
      </c>
      <c r="K16" s="13" t="str">
        <f t="shared" si="2"/>
        <v/>
      </c>
    </row>
    <row r="17" spans="1:11" ht="15.75">
      <c r="A17" s="10"/>
      <c r="B17" s="11"/>
      <c r="C17" s="11"/>
      <c r="D17" s="12"/>
      <c r="E17" s="13" t="str">
        <f>IF(Cashbook_v1[[#This Row],[Amount]]="","",IF(C17="W", 0, D17 - D17/1.1))</f>
        <v/>
      </c>
      <c r="F17" s="13" t="str">
        <f>IF(Cashbook_v1[[#This Row],[Amount]]="","",Cashbook_v1[[#This Row],[Amount]]+Cashbook_v1[[#This Row],[GST]])</f>
        <v/>
      </c>
      <c r="G17" s="14" t="str">
        <f>IF(Cashbook_v1[[#This Row],[Code]]="","",VLOOKUP(Cashbook_v1[[#This Row],[Code]],$F$23:$G$27,2))</f>
        <v/>
      </c>
      <c r="H17" s="13" t="str">
        <f t="shared" si="0"/>
        <v/>
      </c>
      <c r="I17" s="13" t="str">
        <f>IF(C17="E", Cashbook_v1[[#This Row],[Amount]], "")</f>
        <v/>
      </c>
      <c r="J17" s="13" t="str">
        <f t="shared" si="1"/>
        <v/>
      </c>
      <c r="K17" s="13" t="str">
        <f t="shared" si="2"/>
        <v/>
      </c>
    </row>
    <row r="18" spans="1:11" ht="15.75">
      <c r="A18" s="10"/>
      <c r="B18" s="11"/>
      <c r="C18" s="11"/>
      <c r="D18" s="12"/>
      <c r="E18" s="13" t="str">
        <f>IF(Cashbook_v1[[#This Row],[Amount]]="","",IF(C18="W", 0, D18 - D18/1.1))</f>
        <v/>
      </c>
      <c r="F18" s="13" t="str">
        <f>IF(Cashbook_v1[[#This Row],[Amount]]="","",Cashbook_v1[[#This Row],[Amount]]+Cashbook_v1[[#This Row],[GST]])</f>
        <v/>
      </c>
      <c r="G18" s="14" t="str">
        <f>IF(Cashbook_v1[[#This Row],[Code]]="","",VLOOKUP(Cashbook_v1[[#This Row],[Code]],$F$23:$G$27,2))</f>
        <v/>
      </c>
      <c r="H18" s="13" t="str">
        <f t="shared" si="0"/>
        <v/>
      </c>
      <c r="I18" s="13" t="str">
        <f>IF(C18="E", Cashbook_v1[[#This Row],[Amount]], "")</f>
        <v/>
      </c>
      <c r="J18" s="13" t="str">
        <f t="shared" si="1"/>
        <v/>
      </c>
      <c r="K18" s="13" t="str">
        <f t="shared" si="2"/>
        <v/>
      </c>
    </row>
    <row r="19" spans="1:11" ht="15">
      <c r="A19" s="15"/>
      <c r="B19" s="16"/>
      <c r="C19" s="16"/>
      <c r="D19" s="13">
        <f>SUM(Cashbook_v1[Amount])</f>
        <v>0</v>
      </c>
      <c r="E19" s="13">
        <f>SUM(Cashbook_v1[GST])</f>
        <v>0</v>
      </c>
      <c r="F19" s="17">
        <f>SUM(Cashbook_v1[Payment Amount])</f>
        <v>0</v>
      </c>
      <c r="G19" s="16"/>
      <c r="H19" s="13">
        <f>SUM(Cashbook_v1[Wages])</f>
        <v>0</v>
      </c>
      <c r="I19" s="13">
        <f>SUM(Cashbook_v1[Electricity])</f>
        <v>0</v>
      </c>
      <c r="J19" s="13">
        <f>SUM(Cashbook_v1[Rent])</f>
        <v>0</v>
      </c>
      <c r="K19" s="13">
        <f>SUM(Cashbook_v1[Vehicle Expenses])</f>
        <v>0</v>
      </c>
    </row>
    <row r="20" spans="1:11" ht="15">
      <c r="A20" s="18"/>
      <c r="B20" s="19"/>
      <c r="C20" s="19"/>
      <c r="D20" s="19"/>
      <c r="E20" s="19"/>
      <c r="F20" s="19"/>
      <c r="G20" s="19" t="s">
        <v>12</v>
      </c>
      <c r="H20" s="20">
        <f>COUNT(Cashbook_v1[Wages])</f>
        <v>0</v>
      </c>
      <c r="I20" s="20">
        <f>COUNT(Cashbook_v1[Electricity])</f>
        <v>0</v>
      </c>
      <c r="J20" s="20">
        <f>COUNT(Cashbook_v1[Rent])</f>
        <v>0</v>
      </c>
      <c r="K20" s="20">
        <f>COUNT(Cashbook_v1[Vehicle Expenses])</f>
        <v>0</v>
      </c>
    </row>
    <row r="21" spans="1:11" ht="15">
      <c r="A21" s="18"/>
      <c r="B21" s="19"/>
      <c r="C21" s="19"/>
      <c r="D21" s="19"/>
      <c r="E21" s="19"/>
      <c r="F21" s="19"/>
      <c r="G21" s="19" t="s">
        <v>13</v>
      </c>
      <c r="H21" s="21">
        <f>IF(C20=0,0,SUM(Cashbook_v1[Wages])/C20)</f>
        <v>0</v>
      </c>
      <c r="I21" s="21">
        <f>IF(D20=0,0,SUM(Cashbook_v1[Electricity])/D20)</f>
        <v>0</v>
      </c>
      <c r="J21" s="21">
        <f>IF(E20=0,0,SUM(Cashbook_v1[Rent])/E20)</f>
        <v>0</v>
      </c>
      <c r="K21" s="21">
        <f>IF(F20=0,0,SUM(Cashbook_v1[Vehicle Expenses])/F20)</f>
        <v>0</v>
      </c>
    </row>
    <row r="22" spans="1:11" ht="15">
      <c r="A22" s="18"/>
      <c r="B22" s="19"/>
      <c r="C22" s="19"/>
      <c r="D22" s="19"/>
      <c r="E22" s="19"/>
      <c r="F22" s="19"/>
      <c r="G22" s="19"/>
      <c r="H22" s="19"/>
      <c r="I22" s="19"/>
      <c r="J22" s="19"/>
      <c r="K22" s="19"/>
    </row>
    <row r="23" spans="1:11" ht="30">
      <c r="A23" s="22" t="s">
        <v>14</v>
      </c>
      <c r="B23" s="23">
        <v>20000</v>
      </c>
      <c r="E23" s="19"/>
      <c r="F23" s="22" t="s">
        <v>8</v>
      </c>
      <c r="G23" s="22" t="s">
        <v>0</v>
      </c>
      <c r="H23" s="19"/>
      <c r="I23" s="19"/>
      <c r="J23" s="19"/>
      <c r="K23" s="19"/>
    </row>
    <row r="24" spans="1:11" ht="30">
      <c r="A24" s="22" t="s">
        <v>15</v>
      </c>
      <c r="B24" s="23">
        <f>B23-SUM(Cashbook_v1[[#Totals],[Wages]:[Vehicle Expenses]])</f>
        <v>20000</v>
      </c>
      <c r="E24" s="18"/>
      <c r="F24" s="22" t="s">
        <v>9</v>
      </c>
      <c r="G24" s="22" t="s">
        <v>3</v>
      </c>
      <c r="H24" s="19"/>
      <c r="I24" s="19"/>
      <c r="J24" s="19"/>
      <c r="K24" s="19"/>
    </row>
    <row r="25" spans="1:11" ht="15">
      <c r="A25" s="18"/>
      <c r="B25" s="19"/>
      <c r="C25" s="18"/>
      <c r="D25" s="24"/>
      <c r="E25" s="18"/>
      <c r="F25" s="22" t="s">
        <v>10</v>
      </c>
      <c r="G25" s="22" t="s">
        <v>2</v>
      </c>
      <c r="H25" s="19"/>
      <c r="I25" s="19"/>
      <c r="J25" s="19"/>
      <c r="K25" s="19"/>
    </row>
    <row r="26" spans="1:11" ht="15">
      <c r="A26" s="18"/>
      <c r="B26" s="19"/>
      <c r="C26" s="18"/>
      <c r="D26" s="24"/>
      <c r="E26" s="18"/>
      <c r="F26" s="22" t="s">
        <v>11</v>
      </c>
      <c r="G26" s="22" t="s">
        <v>1</v>
      </c>
      <c r="H26" s="19"/>
      <c r="I26" s="19"/>
      <c r="J26" s="19"/>
      <c r="K26" s="19"/>
    </row>
    <row r="27" spans="1:11" ht="15">
      <c r="A27" s="18"/>
      <c r="B27" s="19"/>
      <c r="C27" s="18"/>
      <c r="D27" s="24"/>
      <c r="E27" s="18"/>
      <c r="F27" s="19"/>
      <c r="G27" s="19"/>
      <c r="H27" s="19"/>
      <c r="I27" s="19"/>
      <c r="J27" s="19"/>
      <c r="K27" s="19"/>
    </row>
    <row r="28" spans="1:11" ht="15">
      <c r="A28" s="18"/>
      <c r="B28" s="19"/>
      <c r="C28" s="18"/>
      <c r="D28" s="18"/>
      <c r="E28" s="18"/>
      <c r="F28" s="19"/>
      <c r="G28" s="19"/>
      <c r="H28" s="19"/>
      <c r="I28" s="19"/>
      <c r="J28" s="19"/>
      <c r="K28" s="19"/>
    </row>
    <row r="29" spans="1:11" ht="15">
      <c r="A29" s="18"/>
      <c r="B29" s="19"/>
      <c r="C29" s="19"/>
      <c r="D29" s="19"/>
      <c r="E29" s="24"/>
      <c r="F29" s="19"/>
      <c r="G29" s="19"/>
      <c r="H29" s="19"/>
      <c r="I29" s="19"/>
      <c r="J29" s="19"/>
      <c r="K29" s="19"/>
    </row>
    <row r="30" spans="1:11" ht="15">
      <c r="A30" s="6"/>
      <c r="B30" s="5"/>
      <c r="C30" s="6"/>
      <c r="D30" s="6"/>
      <c r="E30" s="5"/>
      <c r="F30" s="5"/>
      <c r="G30" s="5"/>
      <c r="H30" s="5"/>
      <c r="I30" s="5"/>
      <c r="J30" s="5"/>
      <c r="K30" s="5"/>
    </row>
    <row r="31" spans="1:11" ht="15">
      <c r="A31" s="6"/>
      <c r="B31" s="5"/>
      <c r="C31" s="6"/>
      <c r="D31" s="6"/>
      <c r="E31" s="5"/>
      <c r="F31" s="5"/>
      <c r="G31" s="5"/>
      <c r="H31" s="5"/>
      <c r="I31" s="5"/>
      <c r="J31" s="5"/>
      <c r="K31" s="5"/>
    </row>
    <row r="32" spans="1:11" ht="15">
      <c r="A32" s="6"/>
      <c r="B32" s="5"/>
      <c r="C32" s="5"/>
      <c r="D32" s="5"/>
      <c r="E32" s="5"/>
      <c r="F32" s="5"/>
      <c r="G32" s="5"/>
      <c r="H32" s="5"/>
      <c r="I32" s="5"/>
      <c r="J32" s="5"/>
      <c r="K32" s="5"/>
    </row>
    <row r="33" spans="2:11" ht="15"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2:11" ht="15"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2:11" ht="15"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2:11" ht="15"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2:11" ht="15"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2:11" ht="15"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2:11" ht="15"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2:11" ht="15"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2:11" ht="15"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2:11" ht="15"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2:11" ht="15"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2:11" ht="15">
      <c r="B44" s="1"/>
      <c r="C44" s="1"/>
      <c r="D44" s="1"/>
      <c r="E44" s="1"/>
      <c r="F44" s="1"/>
      <c r="G44" s="1"/>
      <c r="H44" s="1"/>
      <c r="I44" s="1"/>
      <c r="J44" s="1"/>
      <c r="K44" s="1"/>
    </row>
  </sheetData>
  <mergeCells count="6">
    <mergeCell ref="A1:K1"/>
    <mergeCell ref="A7:G7"/>
    <mergeCell ref="H7:K7"/>
    <mergeCell ref="A3:K5"/>
    <mergeCell ref="A6:E6"/>
    <mergeCell ref="F6:K6"/>
  </mergeCells>
  <dataValidations count="1">
    <dataValidation type="list" allowBlank="1" showInputMessage="1" showErrorMessage="1" sqref="C9:C18" xr:uid="{DCB643A3-5171-4383-AF73-63616E77CA57}">
      <formula1>$F$23:$F$26</formula1>
    </dataValidation>
  </dataValidations>
  <printOptions horizontalCentered="1" verticalCentered="1"/>
  <pageMargins left="0.70866141732283472" right="0.70866141732283472" top="0.74803149606299213" bottom="0.74803149606299213" header="0.31496062992125984" footer="0.31496062992125984"/>
  <pageSetup scale="43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588A4E0-A2A2-489F-A509-892E6E0B13C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Cashbook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sonali kubde</dc:creator>
  <cp:lastModifiedBy>sonali kubde</cp:lastModifiedBy>
  <cp:lastPrinted>2024-05-15T06:01:32Z</cp:lastPrinted>
  <dcterms:created xsi:type="dcterms:W3CDTF">2024-05-15T00:18:38Z</dcterms:created>
  <dcterms:modified xsi:type="dcterms:W3CDTF">2024-05-22T05:48:49Z</dcterms:modified>
</cp:coreProperties>
</file>