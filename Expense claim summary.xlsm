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nali\Desktop\"/>
    </mc:Choice>
  </mc:AlternateContent>
  <xr:revisionPtr revIDLastSave="0" documentId="13_ncr:1_{862266CB-9ABC-478A-8BCD-AC0FB60E15FE}" xr6:coauthVersionLast="47" xr6:coauthVersionMax="47" xr10:uidLastSave="{00000000-0000-0000-0000-000000000000}"/>
  <bookViews>
    <workbookView xWindow="-120" yWindow="-120" windowWidth="29040" windowHeight="15720" xr2:uid="{6A005063-E063-4559-9866-7877C712AE85}"/>
  </bookViews>
  <sheets>
    <sheet name="Summary Expense Claims" sheetId="1" r:id="rId1"/>
    <sheet name="Macro Image" sheetId="4" r:id="rId2"/>
    <sheet name="Lookup Data" sheetId="3" state="hidden" r:id="rId3"/>
    <sheet name="SUMIF Help" sheetId="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6" i="1" l="1"/>
  <c r="C36" i="1"/>
  <c r="C37" i="1"/>
  <c r="C35" i="1"/>
  <c r="C34" i="1"/>
  <c r="F25" i="1"/>
  <c r="F26" i="1"/>
  <c r="F27" i="1"/>
  <c r="F24" i="1"/>
  <c r="E25" i="1"/>
  <c r="E26" i="1"/>
  <c r="E27" i="1"/>
  <c r="E24" i="1"/>
  <c r="C25" i="1"/>
  <c r="C26" i="1"/>
  <c r="C27" i="1"/>
  <c r="C24" i="1"/>
  <c r="G28" i="1"/>
  <c r="K24" i="1"/>
  <c r="K25" i="1"/>
  <c r="K26" i="1"/>
  <c r="K27" i="1"/>
  <c r="J24" i="1"/>
  <c r="J25" i="1"/>
  <c r="J26" i="1"/>
  <c r="J27" i="1"/>
  <c r="I24" i="1"/>
  <c r="I25" i="1"/>
  <c r="I26" i="1"/>
  <c r="I27" i="1"/>
  <c r="I22" i="1"/>
  <c r="H24" i="1"/>
  <c r="H25" i="1"/>
  <c r="H26" i="1"/>
  <c r="H27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3" i="1"/>
  <c r="I8" i="1"/>
  <c r="H9" i="1"/>
  <c r="H10" i="1"/>
  <c r="H11" i="1"/>
  <c r="H12" i="1"/>
  <c r="H13" i="1"/>
  <c r="H14" i="1"/>
  <c r="H15" i="1"/>
  <c r="H17" i="1"/>
  <c r="H18" i="1"/>
  <c r="H19" i="1"/>
  <c r="H20" i="1"/>
  <c r="H21" i="1"/>
  <c r="H22" i="1"/>
  <c r="H23" i="1"/>
  <c r="H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8" i="1"/>
  <c r="C8" i="1"/>
  <c r="C11" i="1"/>
  <c r="C9" i="1"/>
  <c r="C10" i="1"/>
  <c r="C12" i="1"/>
  <c r="C13" i="1"/>
  <c r="C14" i="1"/>
  <c r="C15" i="1"/>
  <c r="C16" i="1"/>
  <c r="C17" i="1"/>
  <c r="C18" i="1"/>
  <c r="C19" i="1"/>
  <c r="C20" i="1"/>
  <c r="C21" i="1"/>
  <c r="C22" i="1"/>
  <c r="C23" i="1"/>
  <c r="O17" i="2"/>
  <c r="O19" i="2"/>
  <c r="O18" i="2"/>
  <c r="C42" i="1" l="1"/>
  <c r="J28" i="1"/>
  <c r="K28" i="1"/>
  <c r="H28" i="1"/>
  <c r="I28" i="1"/>
  <c r="C39" i="1"/>
  <c r="C40" i="1"/>
  <c r="C41" i="1"/>
</calcChain>
</file>

<file path=xl/sharedStrings.xml><?xml version="1.0" encoding="utf-8"?>
<sst xmlns="http://schemas.openxmlformats.org/spreadsheetml/2006/main" count="122" uniqueCount="61">
  <si>
    <t>Oliver Trading</t>
  </si>
  <si>
    <t>Summary Staffs Expense Claims</t>
  </si>
  <si>
    <t>For Period</t>
  </si>
  <si>
    <t>Start</t>
  </si>
  <si>
    <t>Finish</t>
  </si>
  <si>
    <t>Date</t>
  </si>
  <si>
    <t>Employee ID</t>
  </si>
  <si>
    <t>Employee Name</t>
  </si>
  <si>
    <t>Code</t>
  </si>
  <si>
    <t>Dept</t>
  </si>
  <si>
    <t>Expense Description</t>
  </si>
  <si>
    <t>Amount(less GST)</t>
  </si>
  <si>
    <t>Meals</t>
  </si>
  <si>
    <t>Kms</t>
  </si>
  <si>
    <t>Accom</t>
  </si>
  <si>
    <t>Transport Fares</t>
  </si>
  <si>
    <t>Name of the Student</t>
  </si>
  <si>
    <t>Name of the course</t>
  </si>
  <si>
    <t>Marks</t>
  </si>
  <si>
    <t>John</t>
  </si>
  <si>
    <t>Jasmine</t>
  </si>
  <si>
    <t>Eva</t>
  </si>
  <si>
    <t>English</t>
  </si>
  <si>
    <t>Maths</t>
  </si>
  <si>
    <t>Total marks scored in all subjects</t>
  </si>
  <si>
    <t>T1896</t>
  </si>
  <si>
    <t>B2659</t>
  </si>
  <si>
    <t>B4879</t>
  </si>
  <si>
    <t>S1547</t>
  </si>
  <si>
    <t>P1824</t>
  </si>
  <si>
    <t>J1457</t>
  </si>
  <si>
    <t>C1724</t>
  </si>
  <si>
    <t>EM</t>
  </si>
  <si>
    <t>EF</t>
  </si>
  <si>
    <t>EA</t>
  </si>
  <si>
    <t>EK</t>
  </si>
  <si>
    <t>Decription types</t>
  </si>
  <si>
    <t>Description</t>
  </si>
  <si>
    <t>Overnight Meals</t>
  </si>
  <si>
    <t>Claim for Kms travelled in own car</t>
  </si>
  <si>
    <t>Overnight Accommodation</t>
  </si>
  <si>
    <t>Name</t>
  </si>
  <si>
    <t>Department</t>
  </si>
  <si>
    <t>Kathy Tang</t>
  </si>
  <si>
    <t>Sales</t>
  </si>
  <si>
    <t>Olive Black</t>
  </si>
  <si>
    <t>Ron Butters</t>
  </si>
  <si>
    <t>HR</t>
  </si>
  <si>
    <t>Jamie Smith</t>
  </si>
  <si>
    <t>Matt Peterson</t>
  </si>
  <si>
    <t>Advertising</t>
  </si>
  <si>
    <t>Henny Jones</t>
  </si>
  <si>
    <t>Paul Collins</t>
  </si>
  <si>
    <t>Finance</t>
  </si>
  <si>
    <t>Breakdown Summary</t>
  </si>
  <si>
    <t>Expense</t>
  </si>
  <si>
    <t>KMS</t>
  </si>
  <si>
    <t>Accomodation</t>
  </si>
  <si>
    <t>Fares</t>
  </si>
  <si>
    <t>Summary Graphs</t>
  </si>
  <si>
    <t>To check whether the SUMIF function is working properly, I changed the department code or the Expense code to see whether the function is able to check the condition and accordingly display the sum of the mentioned cells.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</si>
</sst>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$-45C]#,##0.00"/>
    <numFmt numFmtId="165" formatCode="[$$-C09]#,##0.00"/>
  </numFmts>
  <fonts count="7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b/>
      <sz val="12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  <fill>
      <patternFill patternType="solid">
        <fgColor rgb="FFFFFFFF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3" fillId="0" borderId="0" xfId="0" applyFont="1"/>
    <xf numFmtId="0" fontId="1" fillId="0" borderId="0" xfId="0" applyFont="1"/>
    <xf numFmtId="0" fontId="0" fillId="0" borderId="1" xfId="0" applyBorder="1" applyAlignment="1">
      <alignment horizontal="left" vertical="center" wrapText="1"/>
    </xf>
    <xf numFmtId="0" fontId="0" fillId="0" borderId="1" xfId="0" applyBorder="1"/>
    <xf numFmtId="0" fontId="6" fillId="0" borderId="1" xfId="0" applyFont="1" applyBorder="1"/>
    <xf numFmtId="0" fontId="3" fillId="0" borderId="1" xfId="0" applyFont="1" applyBorder="1"/>
    <xf numFmtId="0" fontId="6" fillId="0" borderId="0" xfId="0" applyFont="1"/>
    <xf numFmtId="0" fontId="6" fillId="0" borderId="8" xfId="0" applyFont="1" applyBorder="1"/>
    <xf numFmtId="0" fontId="3" fillId="2" borderId="1" xfId="0" applyFont="1" applyFill="1" applyBorder="1" applyAlignment="1" applyProtection="1">
      <alignment wrapText="1"/>
      <protection locked="0"/>
    </xf>
    <xf numFmtId="0" fontId="3" fillId="0" borderId="1" xfId="0" applyFont="1" applyBorder="1" applyAlignment="1">
      <alignment wrapText="1"/>
    </xf>
    <xf numFmtId="165" fontId="3" fillId="2" borderId="1" xfId="0" applyNumberFormat="1" applyFont="1" applyFill="1" applyBorder="1" applyAlignment="1" applyProtection="1">
      <alignment wrapText="1"/>
      <protection locked="0"/>
    </xf>
    <xf numFmtId="165" fontId="3" fillId="0" borderId="1" xfId="0" applyNumberFormat="1" applyFont="1" applyBorder="1" applyAlignment="1">
      <alignment wrapText="1"/>
    </xf>
    <xf numFmtId="0" fontId="0" fillId="0" borderId="1" xfId="0" applyBorder="1" applyAlignment="1">
      <alignment wrapText="1"/>
    </xf>
    <xf numFmtId="164" fontId="3" fillId="0" borderId="1" xfId="0" applyNumberFormat="1" applyFont="1" applyBorder="1" applyAlignment="1">
      <alignment wrapText="1"/>
    </xf>
    <xf numFmtId="14" fontId="2" fillId="2" borderId="1" xfId="0" applyNumberFormat="1" applyFont="1" applyFill="1" applyBorder="1" applyAlignment="1" applyProtection="1">
      <alignment horizontal="left" vertical="center" wrapText="1"/>
      <protection locked="0"/>
    </xf>
    <xf numFmtId="164" fontId="3" fillId="3" borderId="1" xfId="0" applyNumberFormat="1" applyFont="1" applyFill="1" applyBorder="1" applyAlignment="1">
      <alignment wrapText="1"/>
    </xf>
    <xf numFmtId="0" fontId="3" fillId="0" borderId="0" xfId="0" applyFont="1" applyAlignment="1">
      <alignment wrapText="1"/>
    </xf>
    <xf numFmtId="0" fontId="3" fillId="0" borderId="10" xfId="0" applyFont="1" applyBorder="1" applyAlignment="1">
      <alignment wrapText="1"/>
    </xf>
    <xf numFmtId="0" fontId="6" fillId="0" borderId="11" xfId="0" applyFont="1" applyBorder="1" applyAlignment="1">
      <alignment vertical="center" wrapText="1"/>
    </xf>
    <xf numFmtId="0" fontId="6" fillId="0" borderId="11" xfId="0" applyFont="1" applyBorder="1" applyAlignment="1">
      <alignment horizontal="right" vertical="center" wrapText="1"/>
    </xf>
    <xf numFmtId="0" fontId="0" fillId="0" borderId="1" xfId="0" applyBorder="1" applyAlignment="1">
      <alignment horizontal="center" wrapText="1"/>
    </xf>
    <xf numFmtId="0" fontId="0" fillId="0" borderId="0" xfId="0" applyAlignment="1">
      <alignment horizontal="center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1" fillId="0" borderId="0" xfId="0" applyFont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FF"/>
      <color rgb="FFADD8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aseline="0"/>
              <a:t>Amount Breakdown by Expense Type</a:t>
            </a:r>
          </a:p>
          <a:p>
            <a:pPr>
              <a:defRPr/>
            </a:pP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327-420E-9A33-287673F151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230-45DF-8853-A922469750B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327-420E-9A33-287673F151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230-45DF-8853-A922469750B3}"/>
              </c:ext>
            </c:extLst>
          </c:dPt>
          <c:dLbls>
            <c:dLbl>
              <c:idx val="0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15148286598353117"/>
                      <c:h val="0.142854899043131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7327-420E-9A33-287673F15160}"/>
                </c:ext>
              </c:extLst>
            </c:dLbl>
            <c:dLbl>
              <c:idx val="2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24930203158192385"/>
                      <c:h val="0.1643367020067373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7327-420E-9A33-287673F1516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Expense Claims'!$B$34:$B$37</c:f>
              <c:strCache>
                <c:ptCount val="4"/>
                <c:pt idx="0">
                  <c:v>Meals</c:v>
                </c:pt>
                <c:pt idx="1">
                  <c:v>KMS</c:v>
                </c:pt>
                <c:pt idx="2">
                  <c:v>Accomodation</c:v>
                </c:pt>
                <c:pt idx="3">
                  <c:v>Fares</c:v>
                </c:pt>
              </c:strCache>
            </c:strRef>
          </c:cat>
          <c:val>
            <c:numRef>
              <c:f>'Summary Expense Claims'!$C$34:$C$37</c:f>
              <c:numCache>
                <c:formatCode>[$$-45C]#,##0.00</c:formatCode>
                <c:ptCount val="4"/>
                <c:pt idx="0">
                  <c:v>325</c:v>
                </c:pt>
                <c:pt idx="1">
                  <c:v>439</c:v>
                </c:pt>
                <c:pt idx="2">
                  <c:v>445</c:v>
                </c:pt>
                <c:pt idx="3">
                  <c:v>1240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7-420E-9A33-287673F151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baseline="0"/>
              <a:t>Amount breakdown by Department</a:t>
            </a:r>
          </a:p>
          <a:p>
            <a:pPr>
              <a:defRPr/>
            </a:pPr>
            <a:endParaRPr lang="en-IN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9F4-44C1-A160-FEC32C28AEF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1C-47E2-9F49-DF6178E23DC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9F4-44C1-A160-FEC32C28AEF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9F4-44C1-A160-FEC32C28AEFB}"/>
              </c:ext>
            </c:extLst>
          </c:dPt>
          <c:dLbls>
            <c:dLbl>
              <c:idx val="1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47551391637542639"/>
                      <c:h val="0.108048833345373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41C-47E2-9F49-DF6178E23DC2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Expense Claims'!$B$39:$B$42</c:f>
              <c:strCache>
                <c:ptCount val="4"/>
                <c:pt idx="0">
                  <c:v>Sales</c:v>
                </c:pt>
                <c:pt idx="1">
                  <c:v>Advertising</c:v>
                </c:pt>
                <c:pt idx="2">
                  <c:v>HR</c:v>
                </c:pt>
                <c:pt idx="3">
                  <c:v>Finance</c:v>
                </c:pt>
              </c:strCache>
            </c:strRef>
          </c:cat>
          <c:val>
            <c:numRef>
              <c:f>'Summary Expense Claims'!$C$39:$C$42</c:f>
              <c:numCache>
                <c:formatCode>[$$-45C]#,##0.00</c:formatCode>
                <c:ptCount val="4"/>
                <c:pt idx="0">
                  <c:v>1005</c:v>
                </c:pt>
                <c:pt idx="1">
                  <c:v>455</c:v>
                </c:pt>
                <c:pt idx="2">
                  <c:v>755</c:v>
                </c:pt>
                <c:pt idx="3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1C-47E2-9F49-DF6178E23D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47625</xdr:colOff>
      <xdr:row>32</xdr:row>
      <xdr:rowOff>76200</xdr:rowOff>
    </xdr:from>
    <xdr:to>
      <xdr:col>6</xdr:col>
      <xdr:colOff>19050</xdr:colOff>
      <xdr:row>52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F63F18-99E1-37D2-ED6C-D6463FE5DC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32</xdr:row>
      <xdr:rowOff>76200</xdr:rowOff>
    </xdr:from>
    <xdr:to>
      <xdr:col>11</xdr:col>
      <xdr:colOff>0</xdr:colOff>
      <xdr:row>52</xdr:row>
      <xdr:rowOff>171449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EC2E8FD-4AB2-2104-637F-A5CD7EA5D7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285750</xdr:colOff>
      <xdr:row>0</xdr:row>
      <xdr:rowOff>0</xdr:rowOff>
    </xdr:from>
    <xdr:to>
      <xdr:col>10</xdr:col>
      <xdr:colOff>475658</xdr:colOff>
      <xdr:row>5</xdr:row>
      <xdr:rowOff>134264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4EF009D-AC3D-DE73-B319-FE58CC4BC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7725" y="0"/>
          <a:ext cx="780458" cy="12010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106704</xdr:colOff>
      <xdr:row>28</xdr:row>
      <xdr:rowOff>162655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6D7FA35-ED2A-3201-4768-3B22BB9C3D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822704" cy="52299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3</xdr:row>
      <xdr:rowOff>85725</xdr:rowOff>
    </xdr:from>
    <xdr:to>
      <xdr:col>9</xdr:col>
      <xdr:colOff>504825</xdr:colOff>
      <xdr:row>19</xdr:row>
      <xdr:rowOff>142875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7AE1F09-C9E5-58AD-0992-4AA561C718E1}"/>
            </a:ext>
          </a:extLst>
        </xdr:cNvPr>
        <xdr:cNvSpPr txBox="1"/>
      </xdr:nvSpPr>
      <xdr:spPr>
        <a:xfrm>
          <a:off x="1123950" y="628650"/>
          <a:ext cx="5553075" cy="2952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IN" sz="1100"/>
        </a:p>
        <a:p>
          <a:endParaRPr lang="en-IN" sz="1100"/>
        </a:p>
        <a:p>
          <a:endParaRPr lang="en-IN" sz="1100"/>
        </a:p>
        <a:p>
          <a:endParaRPr lang="en-IN" sz="1100"/>
        </a:p>
        <a:p>
          <a:endParaRPr lang="en-IN" sz="1100"/>
        </a:p>
        <a:p>
          <a:endParaRPr lang="en-IN" sz="1100"/>
        </a:p>
        <a:p>
          <a:endParaRPr lang="en-IN" sz="1100"/>
        </a:p>
        <a:p>
          <a:endParaRPr lang="en-IN" sz="1100"/>
        </a:p>
        <a:p>
          <a:endParaRPr lang="en-IN" sz="1100"/>
        </a:p>
        <a:p>
          <a:r>
            <a:rPr lang="en-IN" sz="11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&gt;</a:t>
          </a:r>
          <a:r>
            <a:rPr lang="en-IN" sz="11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Range is the actual range of cells where the evaluation is done based on the criteria</a:t>
          </a:r>
        </a:p>
        <a:p>
          <a:r>
            <a:rPr lang="en-IN" sz="11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&gt; Criteria is the condition which needs to be met</a:t>
          </a:r>
        </a:p>
        <a:p>
          <a:r>
            <a:rPr lang="en-IN" sz="11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&gt; [sum_range] is the range of cells that needs to be added</a:t>
          </a:r>
          <a:endParaRPr lang="en-IN" sz="11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3</xdr:col>
      <xdr:colOff>581025</xdr:colOff>
      <xdr:row>4</xdr:row>
      <xdr:rowOff>57150</xdr:rowOff>
    </xdr:from>
    <xdr:to>
      <xdr:col>7</xdr:col>
      <xdr:colOff>333375</xdr:colOff>
      <xdr:row>6</xdr:row>
      <xdr:rowOff>76200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EEEEC85-C940-55D0-7D14-FCA2FCE8AC2B}"/>
            </a:ext>
          </a:extLst>
        </xdr:cNvPr>
        <xdr:cNvSpPr txBox="1"/>
      </xdr:nvSpPr>
      <xdr:spPr>
        <a:xfrm>
          <a:off x="2638425" y="781050"/>
          <a:ext cx="24955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400" b="1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SUMIF Syntax</a:t>
          </a:r>
        </a:p>
      </xdr:txBody>
    </xdr:sp>
    <xdr:clientData/>
  </xdr:twoCellAnchor>
  <xdr:twoCellAnchor>
    <xdr:from>
      <xdr:col>2</xdr:col>
      <xdr:colOff>238125</xdr:colOff>
      <xdr:row>7</xdr:row>
      <xdr:rowOff>66675</xdr:rowOff>
    </xdr:from>
    <xdr:to>
      <xdr:col>8</xdr:col>
      <xdr:colOff>676275</xdr:colOff>
      <xdr:row>9</xdr:row>
      <xdr:rowOff>85725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3F506866-B824-4D76-9BC6-43875B3FA6D8}"/>
            </a:ext>
          </a:extLst>
        </xdr:cNvPr>
        <xdr:cNvSpPr txBox="1"/>
      </xdr:nvSpPr>
      <xdr:spPr>
        <a:xfrm>
          <a:off x="1609725" y="1333500"/>
          <a:ext cx="4552950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IN" sz="1200" b="0" i="0">
              <a:solidFill>
                <a:schemeClr val="dk1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SUMIF(range, criteria, [sum_range])</a:t>
          </a:r>
          <a:endParaRPr lang="en-IN" sz="1200" b="1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933450</xdr:colOff>
      <xdr:row>15</xdr:row>
      <xdr:rowOff>85725</xdr:rowOff>
    </xdr:from>
    <xdr:to>
      <xdr:col>20</xdr:col>
      <xdr:colOff>19050</xdr:colOff>
      <xdr:row>23</xdr:row>
      <xdr:rowOff>123825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7C86DA9F-6E44-D6E1-08F5-E567FA827FE0}"/>
            </a:ext>
          </a:extLst>
        </xdr:cNvPr>
        <xdr:cNvSpPr txBox="1"/>
      </xdr:nvSpPr>
      <xdr:spPr>
        <a:xfrm>
          <a:off x="13382625" y="2800350"/>
          <a:ext cx="3648075" cy="14859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1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=SUMIF($N$6:$N$11,"John",$P$6:$P$11)</a:t>
          </a:r>
        </a:p>
        <a:p>
          <a:endParaRPr lang="en-IN" sz="11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r>
            <a:rPr lang="en-IN" sz="110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This is the formula</a:t>
          </a:r>
          <a:r>
            <a:rPr lang="en-IN" sz="1100" baseline="0"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for the Total marks which is checking whether the Name of the student(Column N) is "John" then return the sum of the respective cells from column P</a:t>
          </a:r>
        </a:p>
        <a:p>
          <a:endParaRPr lang="en-IN" sz="1100" baseline="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endParaRPr lang="en-IN" sz="1100"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0</xdr:colOff>
      <xdr:row>16</xdr:row>
      <xdr:rowOff>85725</xdr:rowOff>
    </xdr:from>
    <xdr:to>
      <xdr:col>15</xdr:col>
      <xdr:colOff>933450</xdr:colOff>
      <xdr:row>19</xdr:row>
      <xdr:rowOff>104775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E726376F-BC32-8D18-036D-B69B5CDF7AFB}"/>
            </a:ext>
          </a:extLst>
        </xdr:cNvPr>
        <xdr:cNvCxnSpPr>
          <a:stCxn id="5" idx="1"/>
        </xdr:cNvCxnSpPr>
      </xdr:nvCxnSpPr>
      <xdr:spPr>
        <a:xfrm flipH="1" flipV="1">
          <a:off x="12449175" y="2981325"/>
          <a:ext cx="933450" cy="561975"/>
        </a:xfrm>
        <a:prstGeom prst="straightConnector1">
          <a:avLst/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B22F9-B4CF-4109-806B-ED3DD2EE65C4}">
  <sheetPr codeName="Sheet1">
    <pageSetUpPr fitToPage="1"/>
  </sheetPr>
  <dimension ref="A1:K54"/>
  <sheetViews>
    <sheetView tabSelected="1" topLeftCell="A5" zoomScaleNormal="100" workbookViewId="0">
      <selection activeCell="G12" sqref="G12"/>
    </sheetView>
  </sheetViews>
  <sheetFormatPr defaultRowHeight="14.25"/>
  <cols>
    <col min="1" max="1" width="13.875" customWidth="1"/>
    <col min="2" max="2" width="12.125" customWidth="1"/>
    <col min="3" max="3" width="14.5" customWidth="1"/>
    <col min="4" max="4" width="6.375" customWidth="1"/>
    <col min="5" max="5" width="11.75" customWidth="1"/>
    <col min="6" max="6" width="18.875" customWidth="1"/>
    <col min="7" max="8" width="7.75" customWidth="1"/>
    <col min="9" max="9" width="7.5" customWidth="1"/>
    <col min="10" max="10" width="7.75" customWidth="1"/>
    <col min="11" max="11" width="9.125" customWidth="1"/>
  </cols>
  <sheetData>
    <row r="1" spans="1:11">
      <c r="A1" s="31" t="s">
        <v>0</v>
      </c>
      <c r="B1" s="32"/>
      <c r="C1" s="32"/>
      <c r="D1" s="32"/>
      <c r="E1" s="32"/>
      <c r="F1" s="32"/>
      <c r="G1" s="32"/>
      <c r="H1" s="32"/>
      <c r="I1" s="32"/>
      <c r="J1" s="32"/>
      <c r="K1" s="33"/>
    </row>
    <row r="2" spans="1:11">
      <c r="A2" s="34"/>
      <c r="B2" s="35"/>
      <c r="C2" s="35"/>
      <c r="D2" s="35"/>
      <c r="E2" s="35"/>
      <c r="F2" s="35"/>
      <c r="G2" s="35"/>
      <c r="H2" s="35"/>
      <c r="I2" s="35"/>
      <c r="J2" s="35"/>
      <c r="K2" s="36"/>
    </row>
    <row r="3" spans="1:11" ht="21" customHeight="1">
      <c r="A3" s="34"/>
      <c r="B3" s="35"/>
      <c r="C3" s="35"/>
      <c r="D3" s="35"/>
      <c r="E3" s="35"/>
      <c r="F3" s="35"/>
      <c r="G3" s="35"/>
      <c r="H3" s="35"/>
      <c r="I3" s="35"/>
      <c r="J3" s="35"/>
      <c r="K3" s="36"/>
    </row>
    <row r="4" spans="1:11" ht="18.75">
      <c r="A4" s="37" t="s">
        <v>1</v>
      </c>
      <c r="B4" s="38"/>
      <c r="C4" s="38"/>
      <c r="D4" s="38"/>
      <c r="E4" s="38"/>
      <c r="F4" s="38"/>
      <c r="G4" s="38"/>
      <c r="H4" s="38"/>
      <c r="I4" s="38"/>
      <c r="J4" s="38"/>
      <c r="K4" s="39"/>
    </row>
    <row r="5" spans="1:11" ht="15.75">
      <c r="A5" s="40" t="s">
        <v>2</v>
      </c>
      <c r="B5" s="41"/>
      <c r="C5" s="41"/>
      <c r="D5" s="41"/>
      <c r="E5" s="41"/>
      <c r="F5" s="7" t="s">
        <v>3</v>
      </c>
      <c r="G5" s="44"/>
      <c r="H5" s="44"/>
      <c r="I5" s="44"/>
      <c r="J5" s="44"/>
      <c r="K5" s="45"/>
    </row>
    <row r="6" spans="1:11" ht="15.75">
      <c r="A6" s="42"/>
      <c r="B6" s="43"/>
      <c r="C6" s="43"/>
      <c r="D6" s="43"/>
      <c r="E6" s="43"/>
      <c r="F6" s="8" t="s">
        <v>4</v>
      </c>
      <c r="G6" s="23"/>
      <c r="H6" s="23"/>
      <c r="I6" s="23"/>
      <c r="J6" s="23"/>
      <c r="K6" s="24"/>
    </row>
    <row r="7" spans="1:11" ht="47.25">
      <c r="A7" s="19" t="s">
        <v>5</v>
      </c>
      <c r="B7" s="19" t="s">
        <v>6</v>
      </c>
      <c r="C7" s="19" t="s">
        <v>7</v>
      </c>
      <c r="D7" s="19" t="s">
        <v>8</v>
      </c>
      <c r="E7" s="19" t="s">
        <v>9</v>
      </c>
      <c r="F7" s="19" t="s">
        <v>10</v>
      </c>
      <c r="G7" s="20" t="s">
        <v>11</v>
      </c>
      <c r="H7" s="20" t="s">
        <v>12</v>
      </c>
      <c r="I7" s="20" t="s">
        <v>13</v>
      </c>
      <c r="J7" s="20" t="s">
        <v>14</v>
      </c>
      <c r="K7" s="20" t="s">
        <v>15</v>
      </c>
    </row>
    <row r="8" spans="1:11" ht="15">
      <c r="A8" s="15">
        <v>44442</v>
      </c>
      <c r="B8" s="9" t="s">
        <v>25</v>
      </c>
      <c r="C8" s="10" t="str">
        <f>VLOOKUP(B8,'Lookup Data'!$A$14:$C$22,2,FALSE)</f>
        <v>Kathy Tang</v>
      </c>
      <c r="D8" s="9" t="s">
        <v>32</v>
      </c>
      <c r="E8" s="10" t="str">
        <f>VLOOKUP(B8,'Lookup Data'!$A$14:$C$23,3,FALSE)</f>
        <v>Sales</v>
      </c>
      <c r="F8" s="10" t="str">
        <f>VLOOKUP(D8,'Lookup Data'!$A$3:$B$6,2,FALSE)</f>
        <v>Overnight Meals</v>
      </c>
      <c r="G8" s="11">
        <v>65</v>
      </c>
      <c r="H8" s="12">
        <f>IF($D8="EM",$G8,"")</f>
        <v>65</v>
      </c>
      <c r="I8" s="12" t="str">
        <f>IF($D8="EK",$G8,"")</f>
        <v/>
      </c>
      <c r="J8" s="12" t="str">
        <f>IF($D8="EA",$G8,"")</f>
        <v/>
      </c>
      <c r="K8" s="12" t="str">
        <f>IF($D8="EF",$G8,"")</f>
        <v/>
      </c>
    </row>
    <row r="9" spans="1:11" ht="15">
      <c r="A9" s="15">
        <v>44452</v>
      </c>
      <c r="B9" s="9" t="s">
        <v>26</v>
      </c>
      <c r="C9" s="10" t="str">
        <f>VLOOKUP(B9,'Lookup Data'!$A$14:$C$22,2,FALSE)</f>
        <v>Olive Black</v>
      </c>
      <c r="D9" s="9" t="s">
        <v>32</v>
      </c>
      <c r="E9" s="10" t="str">
        <f>VLOOKUP(B9,'Lookup Data'!$A$14:$C$23,3,FALSE)</f>
        <v>Sales</v>
      </c>
      <c r="F9" s="10" t="str">
        <f>VLOOKUP(D9,'Lookup Data'!$A$3:$B$6,2,FALSE)</f>
        <v>Overnight Meals</v>
      </c>
      <c r="G9" s="11">
        <v>65</v>
      </c>
      <c r="H9" s="12">
        <f t="shared" ref="H9:H27" si="0">IF($D9="EM",$G9,"")</f>
        <v>65</v>
      </c>
      <c r="I9" s="12" t="str">
        <f t="shared" ref="I9:I27" si="1">IF($D9="EK",$G9,"")</f>
        <v/>
      </c>
      <c r="J9" s="12" t="str">
        <f t="shared" ref="J9:J27" si="2">IF($D9="EA",$G9,"")</f>
        <v/>
      </c>
      <c r="K9" s="12" t="str">
        <f t="shared" ref="K9:K27" si="3">IF($D9="EF",$G9,"")</f>
        <v/>
      </c>
    </row>
    <row r="10" spans="1:11" ht="15">
      <c r="A10" s="15">
        <v>44442</v>
      </c>
      <c r="B10" s="9" t="s">
        <v>27</v>
      </c>
      <c r="C10" s="10" t="str">
        <f>VLOOKUP(B10,'Lookup Data'!$A$14:$C$22,2,FALSE)</f>
        <v>Ron Butters</v>
      </c>
      <c r="D10" s="9" t="s">
        <v>33</v>
      </c>
      <c r="E10" s="10" t="str">
        <f>VLOOKUP(B10,'Lookup Data'!$A$14:$C$23,3,FALSE)</f>
        <v>HR</v>
      </c>
      <c r="F10" s="10" t="str">
        <f>VLOOKUP(D10,'Lookup Data'!$A$3:$B$6,2,FALSE)</f>
        <v>Transport Fares</v>
      </c>
      <c r="G10" s="11">
        <v>450</v>
      </c>
      <c r="H10" s="12" t="str">
        <f t="shared" si="0"/>
        <v/>
      </c>
      <c r="I10" s="12" t="str">
        <f t="shared" si="1"/>
        <v/>
      </c>
      <c r="J10" s="12" t="str">
        <f t="shared" si="2"/>
        <v/>
      </c>
      <c r="K10" s="12">
        <f t="shared" si="3"/>
        <v>450</v>
      </c>
    </row>
    <row r="11" spans="1:11" ht="30">
      <c r="A11" s="15">
        <v>44451</v>
      </c>
      <c r="B11" s="9" t="s">
        <v>28</v>
      </c>
      <c r="C11" s="10" t="str">
        <f>VLOOKUP(B11,'Lookup Data'!$A$14:$C$22,2,FALSE)</f>
        <v>Jamie Smith</v>
      </c>
      <c r="D11" s="9" t="s">
        <v>34</v>
      </c>
      <c r="E11" s="10" t="str">
        <f>VLOOKUP(B11,'Lookup Data'!$A$14:$C$23,3,FALSE)</f>
        <v>Sales</v>
      </c>
      <c r="F11" s="10" t="str">
        <f>VLOOKUP(D11,'Lookup Data'!$A$3:$B$6,2,FALSE)</f>
        <v>Overnight Accommodation</v>
      </c>
      <c r="G11" s="11">
        <v>130</v>
      </c>
      <c r="H11" s="12" t="str">
        <f t="shared" si="0"/>
        <v/>
      </c>
      <c r="I11" s="12" t="str">
        <f t="shared" si="1"/>
        <v/>
      </c>
      <c r="J11" s="12">
        <f t="shared" si="2"/>
        <v>130</v>
      </c>
      <c r="K11" s="12" t="str">
        <f t="shared" si="3"/>
        <v/>
      </c>
    </row>
    <row r="12" spans="1:11" ht="30">
      <c r="A12" s="15">
        <v>44448</v>
      </c>
      <c r="B12" s="9" t="s">
        <v>29</v>
      </c>
      <c r="C12" s="10" t="str">
        <f>VLOOKUP(B12,'Lookup Data'!$A$14:$C$22,2,FALSE)</f>
        <v>Matt Peterson</v>
      </c>
      <c r="D12" s="9" t="s">
        <v>34</v>
      </c>
      <c r="E12" s="10" t="str">
        <f>VLOOKUP(B12,'Lookup Data'!$A$14:$C$23,3,FALSE)</f>
        <v>Advertising</v>
      </c>
      <c r="F12" s="10" t="str">
        <f>VLOOKUP(D12,'Lookup Data'!$A$3:$B$6,2,FALSE)</f>
        <v>Overnight Accommodation</v>
      </c>
      <c r="G12" s="11">
        <v>150</v>
      </c>
      <c r="H12" s="12" t="str">
        <f t="shared" si="0"/>
        <v/>
      </c>
      <c r="I12" s="12" t="str">
        <f t="shared" si="1"/>
        <v/>
      </c>
      <c r="J12" s="12">
        <f t="shared" si="2"/>
        <v>150</v>
      </c>
      <c r="K12" s="12" t="str">
        <f t="shared" si="3"/>
        <v/>
      </c>
    </row>
    <row r="13" spans="1:11" ht="15">
      <c r="A13" s="15">
        <v>44448</v>
      </c>
      <c r="B13" s="9" t="s">
        <v>29</v>
      </c>
      <c r="C13" s="10" t="str">
        <f>VLOOKUP(B13,'Lookup Data'!$A$14:$C$22,2,FALSE)</f>
        <v>Matt Peterson</v>
      </c>
      <c r="D13" s="9" t="s">
        <v>32</v>
      </c>
      <c r="E13" s="10" t="str">
        <f>VLOOKUP(B13,'Lookup Data'!$A$14:$C$23,3,FALSE)</f>
        <v>Advertising</v>
      </c>
      <c r="F13" s="10" t="str">
        <f>VLOOKUP(D13,'Lookup Data'!$A$3:$B$6,2,FALSE)</f>
        <v>Overnight Meals</v>
      </c>
      <c r="G13" s="11">
        <v>65</v>
      </c>
      <c r="H13" s="12">
        <f t="shared" si="0"/>
        <v>65</v>
      </c>
      <c r="I13" s="12" t="str">
        <f t="shared" si="1"/>
        <v/>
      </c>
      <c r="J13" s="12" t="str">
        <f t="shared" si="2"/>
        <v/>
      </c>
      <c r="K13" s="12" t="str">
        <f t="shared" si="3"/>
        <v/>
      </c>
    </row>
    <row r="14" spans="1:11" ht="30">
      <c r="A14" s="15">
        <v>44448</v>
      </c>
      <c r="B14" s="9" t="s">
        <v>29</v>
      </c>
      <c r="C14" s="10" t="str">
        <f>VLOOKUP(B14,'Lookup Data'!$A$14:$C$22,2,FALSE)</f>
        <v>Matt Peterson</v>
      </c>
      <c r="D14" s="9" t="s">
        <v>35</v>
      </c>
      <c r="E14" s="10" t="str">
        <f>VLOOKUP(B14,'Lookup Data'!$A$14:$C$23,3,FALSE)</f>
        <v>Advertising</v>
      </c>
      <c r="F14" s="10" t="str">
        <f>VLOOKUP(D14,'Lookup Data'!$A$3:$B$6,2,FALSE)</f>
        <v>Claim for Kms travelled in own car</v>
      </c>
      <c r="G14" s="11">
        <v>152</v>
      </c>
      <c r="H14" s="12" t="str">
        <f t="shared" si="0"/>
        <v/>
      </c>
      <c r="I14" s="12">
        <f t="shared" si="1"/>
        <v>152</v>
      </c>
      <c r="J14" s="12" t="str">
        <f t="shared" si="2"/>
        <v/>
      </c>
      <c r="K14" s="12" t="str">
        <f t="shared" si="3"/>
        <v/>
      </c>
    </row>
    <row r="15" spans="1:11" ht="15">
      <c r="A15" s="15">
        <v>44447</v>
      </c>
      <c r="B15" s="9" t="s">
        <v>27</v>
      </c>
      <c r="C15" s="10" t="str">
        <f>VLOOKUP(B15,'Lookup Data'!$A$14:$C$22,2,FALSE)</f>
        <v>Ron Butters</v>
      </c>
      <c r="D15" s="9" t="s">
        <v>33</v>
      </c>
      <c r="E15" s="10" t="str">
        <f>VLOOKUP(B15,'Lookup Data'!$A$14:$C$23,3,FALSE)</f>
        <v>HR</v>
      </c>
      <c r="F15" s="10" t="str">
        <f>VLOOKUP(D15,'Lookup Data'!$A$3:$B$6,2,FALSE)</f>
        <v>Transport Fares</v>
      </c>
      <c r="G15" s="11">
        <v>35</v>
      </c>
      <c r="H15" s="12" t="str">
        <f t="shared" si="0"/>
        <v/>
      </c>
      <c r="I15" s="12" t="str">
        <f t="shared" si="1"/>
        <v/>
      </c>
      <c r="J15" s="12" t="str">
        <f t="shared" si="2"/>
        <v/>
      </c>
      <c r="K15" s="12">
        <f t="shared" si="3"/>
        <v>35</v>
      </c>
    </row>
    <row r="16" spans="1:11" ht="15">
      <c r="A16" s="15">
        <v>44447</v>
      </c>
      <c r="B16" s="9" t="s">
        <v>27</v>
      </c>
      <c r="C16" s="10" t="str">
        <f>VLOOKUP(B16,'Lookup Data'!$A$14:$C$22,2,FALSE)</f>
        <v>Ron Butters</v>
      </c>
      <c r="D16" s="9" t="s">
        <v>33</v>
      </c>
      <c r="E16" s="10" t="str">
        <f>VLOOKUP(B16,'Lookup Data'!$A$14:$C$23,3,FALSE)</f>
        <v>HR</v>
      </c>
      <c r="F16" s="10" t="str">
        <f>VLOOKUP(D16,'Lookup Data'!$A$3:$B$6,2,FALSE)</f>
        <v>Transport Fares</v>
      </c>
      <c r="G16" s="11">
        <v>235</v>
      </c>
      <c r="H16" s="12" t="str">
        <f>IF($D16="EM",$G16,"")</f>
        <v/>
      </c>
      <c r="I16" s="12" t="str">
        <f t="shared" si="1"/>
        <v/>
      </c>
      <c r="J16" s="12" t="str">
        <f t="shared" si="2"/>
        <v/>
      </c>
      <c r="K16" s="12">
        <f t="shared" si="3"/>
        <v>235</v>
      </c>
    </row>
    <row r="17" spans="1:11" ht="15">
      <c r="A17" s="15">
        <v>44447</v>
      </c>
      <c r="B17" s="9" t="s">
        <v>27</v>
      </c>
      <c r="C17" s="10" t="str">
        <f>VLOOKUP(B17,'Lookup Data'!$A$14:$C$22,2,FALSE)</f>
        <v>Ron Butters</v>
      </c>
      <c r="D17" s="9" t="s">
        <v>33</v>
      </c>
      <c r="E17" s="10" t="str">
        <f>VLOOKUP(B17,'Lookup Data'!$A$14:$C$23,3,FALSE)</f>
        <v>HR</v>
      </c>
      <c r="F17" s="10" t="str">
        <f>VLOOKUP(D17,'Lookup Data'!$A$3:$B$6,2,FALSE)</f>
        <v>Transport Fares</v>
      </c>
      <c r="G17" s="11">
        <v>35</v>
      </c>
      <c r="H17" s="12" t="str">
        <f t="shared" si="0"/>
        <v/>
      </c>
      <c r="I17" s="12" t="str">
        <f t="shared" si="1"/>
        <v/>
      </c>
      <c r="J17" s="12" t="str">
        <f t="shared" si="2"/>
        <v/>
      </c>
      <c r="K17" s="12">
        <f t="shared" si="3"/>
        <v>35</v>
      </c>
    </row>
    <row r="18" spans="1:11" ht="30">
      <c r="A18" s="15">
        <v>44440</v>
      </c>
      <c r="B18" s="9" t="s">
        <v>29</v>
      </c>
      <c r="C18" s="10" t="str">
        <f>VLOOKUP(B18,'Lookup Data'!$A$14:$C$22,2,FALSE)</f>
        <v>Matt Peterson</v>
      </c>
      <c r="D18" s="9" t="s">
        <v>35</v>
      </c>
      <c r="E18" s="10" t="str">
        <f>VLOOKUP(B18,'Lookup Data'!$A$14:$C$23,3,FALSE)</f>
        <v>Advertising</v>
      </c>
      <c r="F18" s="10" t="str">
        <f>VLOOKUP(D18,'Lookup Data'!$A$3:$B$6,2,FALSE)</f>
        <v>Claim for Kms travelled in own car</v>
      </c>
      <c r="G18" s="11">
        <v>53</v>
      </c>
      <c r="H18" s="12" t="str">
        <f t="shared" si="0"/>
        <v/>
      </c>
      <c r="I18" s="12">
        <f t="shared" si="1"/>
        <v>53</v>
      </c>
      <c r="J18" s="12" t="str">
        <f t="shared" si="2"/>
        <v/>
      </c>
      <c r="K18" s="12" t="str">
        <f t="shared" si="3"/>
        <v/>
      </c>
    </row>
    <row r="19" spans="1:11" ht="30">
      <c r="A19" s="15">
        <v>44444</v>
      </c>
      <c r="B19" s="9" t="s">
        <v>28</v>
      </c>
      <c r="C19" s="10" t="str">
        <f>VLOOKUP(B19,'Lookup Data'!$A$14:$C$22,2,FALSE)</f>
        <v>Jamie Smith</v>
      </c>
      <c r="D19" s="9" t="s">
        <v>34</v>
      </c>
      <c r="E19" s="10" t="str">
        <f>VLOOKUP(B19,'Lookup Data'!$A$14:$C$23,3,FALSE)</f>
        <v>Sales</v>
      </c>
      <c r="F19" s="10" t="str">
        <f>VLOOKUP(D19,'Lookup Data'!$A$3:$B$6,2,FALSE)</f>
        <v>Overnight Accommodation</v>
      </c>
      <c r="G19" s="11">
        <v>165</v>
      </c>
      <c r="H19" s="12" t="str">
        <f t="shared" si="0"/>
        <v/>
      </c>
      <c r="I19" s="12" t="str">
        <f t="shared" si="1"/>
        <v/>
      </c>
      <c r="J19" s="12">
        <f t="shared" si="2"/>
        <v>165</v>
      </c>
      <c r="K19" s="12" t="str">
        <f t="shared" si="3"/>
        <v/>
      </c>
    </row>
    <row r="20" spans="1:11" ht="15">
      <c r="A20" s="15">
        <v>44444</v>
      </c>
      <c r="B20" s="9" t="s">
        <v>28</v>
      </c>
      <c r="C20" s="10" t="str">
        <f>VLOOKUP(B20,'Lookup Data'!$A$14:$C$22,2,FALSE)</f>
        <v>Jamie Smith</v>
      </c>
      <c r="D20" s="9" t="s">
        <v>32</v>
      </c>
      <c r="E20" s="10" t="str">
        <f>VLOOKUP(B20,'Lookup Data'!$A$14:$C$23,3,FALSE)</f>
        <v>Sales</v>
      </c>
      <c r="F20" s="10" t="str">
        <f>VLOOKUP(D20,'Lookup Data'!$A$3:$B$6,2,FALSE)</f>
        <v>Overnight Meals</v>
      </c>
      <c r="G20" s="11">
        <v>130</v>
      </c>
      <c r="H20" s="12">
        <f t="shared" si="0"/>
        <v>130</v>
      </c>
      <c r="I20" s="12" t="str">
        <f t="shared" si="1"/>
        <v/>
      </c>
      <c r="J20" s="12" t="str">
        <f t="shared" si="2"/>
        <v/>
      </c>
      <c r="K20" s="12" t="str">
        <f t="shared" si="3"/>
        <v/>
      </c>
    </row>
    <row r="21" spans="1:11" ht="15">
      <c r="A21" s="15">
        <v>44453</v>
      </c>
      <c r="B21" s="9" t="s">
        <v>30</v>
      </c>
      <c r="C21" s="10" t="str">
        <f>VLOOKUP(B21,'Lookup Data'!$A$14:$C$22,2,FALSE)</f>
        <v>Henny Jones</v>
      </c>
      <c r="D21" s="9" t="s">
        <v>33</v>
      </c>
      <c r="E21" s="10" t="str">
        <f>VLOOKUP(B21,'Lookup Data'!$A$14:$C$23,3,FALSE)</f>
        <v>Advertising</v>
      </c>
      <c r="F21" s="10" t="str">
        <f>VLOOKUP(D21,'Lookup Data'!$A$3:$B$6,2,FALSE)</f>
        <v>Transport Fares</v>
      </c>
      <c r="G21" s="11">
        <v>35</v>
      </c>
      <c r="H21" s="12" t="str">
        <f t="shared" si="0"/>
        <v/>
      </c>
      <c r="I21" s="12" t="str">
        <f t="shared" si="1"/>
        <v/>
      </c>
      <c r="J21" s="12" t="str">
        <f t="shared" si="2"/>
        <v/>
      </c>
      <c r="K21" s="12">
        <f t="shared" si="3"/>
        <v>35</v>
      </c>
    </row>
    <row r="22" spans="1:11" ht="30">
      <c r="A22" s="15">
        <v>44452</v>
      </c>
      <c r="B22" s="9" t="s">
        <v>31</v>
      </c>
      <c r="C22" s="10" t="str">
        <f>VLOOKUP(B22,'Lookup Data'!$A$14:$C$22,2,FALSE)</f>
        <v>Paul Collins</v>
      </c>
      <c r="D22" s="9" t="s">
        <v>35</v>
      </c>
      <c r="E22" s="10" t="str">
        <f>VLOOKUP(B22,'Lookup Data'!$A$14:$C$23,3,FALSE)</f>
        <v>Finance</v>
      </c>
      <c r="F22" s="10" t="str">
        <f>VLOOKUP(D22,'Lookup Data'!$A$3:$B$6,2,FALSE)</f>
        <v>Claim for Kms travelled in own car</v>
      </c>
      <c r="G22" s="11">
        <v>234</v>
      </c>
      <c r="H22" s="12" t="str">
        <f t="shared" si="0"/>
        <v/>
      </c>
      <c r="I22" s="12">
        <f>IF($D22="EK",$G22,"")</f>
        <v>234</v>
      </c>
      <c r="J22" s="12" t="str">
        <f t="shared" si="2"/>
        <v/>
      </c>
      <c r="K22" s="12" t="str">
        <f t="shared" si="3"/>
        <v/>
      </c>
    </row>
    <row r="23" spans="1:11" ht="15">
      <c r="A23" s="15">
        <v>44451</v>
      </c>
      <c r="B23" s="9" t="s">
        <v>28</v>
      </c>
      <c r="C23" s="10" t="str">
        <f>VLOOKUP(B23,'Lookup Data'!$A$14:$C$22,2,FALSE)</f>
        <v>Jamie Smith</v>
      </c>
      <c r="D23" s="9" t="s">
        <v>33</v>
      </c>
      <c r="E23" s="10" t="str">
        <f>VLOOKUP(B23,'Lookup Data'!$A$14:$C$23,3,FALSE)</f>
        <v>Sales</v>
      </c>
      <c r="F23" s="10" t="str">
        <f>VLOOKUP(D23,'Lookup Data'!$A$3:$B$6,2,FALSE)</f>
        <v>Transport Fares</v>
      </c>
      <c r="G23" s="11">
        <v>450</v>
      </c>
      <c r="H23" s="12" t="str">
        <f t="shared" si="0"/>
        <v/>
      </c>
      <c r="I23" s="12" t="str">
        <f t="shared" si="1"/>
        <v/>
      </c>
      <c r="J23" s="12" t="str">
        <f t="shared" si="2"/>
        <v/>
      </c>
      <c r="K23" s="12">
        <f t="shared" si="3"/>
        <v>450</v>
      </c>
    </row>
    <row r="24" spans="1:11" ht="15">
      <c r="A24" s="15"/>
      <c r="B24" s="9"/>
      <c r="C24" s="10" t="str">
        <f>IF(B24="","",VLOOKUP(B24,'Lookup Data'!$A$14:$C$22,2,FALSE))</f>
        <v/>
      </c>
      <c r="D24" s="9"/>
      <c r="E24" s="10" t="str">
        <f>IF(B24="","",VLOOKUP(B24,'Lookup Data'!$A$14:$C$23,3,FALSE))</f>
        <v/>
      </c>
      <c r="F24" s="10" t="str">
        <f>IF(D24="","",VLOOKUP(D24,'Lookup Data'!$A$3:$B$6,2,FALSE))</f>
        <v/>
      </c>
      <c r="G24" s="11"/>
      <c r="H24" s="12" t="str">
        <f t="shared" si="0"/>
        <v/>
      </c>
      <c r="I24" s="12" t="str">
        <f t="shared" si="1"/>
        <v/>
      </c>
      <c r="J24" s="12" t="str">
        <f t="shared" si="2"/>
        <v/>
      </c>
      <c r="K24" s="12" t="str">
        <f t="shared" si="3"/>
        <v/>
      </c>
    </row>
    <row r="25" spans="1:11" ht="15">
      <c r="A25" s="15"/>
      <c r="B25" s="9"/>
      <c r="C25" s="10" t="str">
        <f>IF(B25="","",VLOOKUP(B25,'Lookup Data'!$A$14:$C$22,2,FALSE))</f>
        <v/>
      </c>
      <c r="D25" s="9"/>
      <c r="E25" s="10" t="str">
        <f>IF(B25="","",VLOOKUP(B25,'Lookup Data'!$A$14:$C$23,3,FALSE))</f>
        <v/>
      </c>
      <c r="F25" s="10" t="str">
        <f>IF(D25="","",VLOOKUP(D25,'Lookup Data'!$A$3:$B$6,2,FALSE))</f>
        <v/>
      </c>
      <c r="G25" s="11"/>
      <c r="H25" s="12" t="str">
        <f t="shared" si="0"/>
        <v/>
      </c>
      <c r="I25" s="12" t="str">
        <f t="shared" si="1"/>
        <v/>
      </c>
      <c r="J25" s="12" t="str">
        <f t="shared" si="2"/>
        <v/>
      </c>
      <c r="K25" s="12" t="str">
        <f t="shared" si="3"/>
        <v/>
      </c>
    </row>
    <row r="26" spans="1:11" ht="15">
      <c r="A26" s="15"/>
      <c r="B26" s="9"/>
      <c r="C26" s="10" t="str">
        <f>IF(B26="","",VLOOKUP(B26,'Lookup Data'!$A$14:$C$22,2,FALSE))</f>
        <v/>
      </c>
      <c r="D26" s="9"/>
      <c r="E26" s="10" t="str">
        <f>IF(B26="","",VLOOKUP(B26,'Lookup Data'!$A$14:$C$23,3,FALSE))</f>
        <v/>
      </c>
      <c r="F26" s="10" t="str">
        <f>IF(D26="","",VLOOKUP(D26,'Lookup Data'!$A$3:$B$6,2,FALSE))</f>
        <v/>
      </c>
      <c r="G26" s="11"/>
      <c r="H26" s="12" t="str">
        <f t="shared" si="0"/>
        <v/>
      </c>
      <c r="I26" s="12" t="str">
        <f t="shared" si="1"/>
        <v/>
      </c>
      <c r="J26" s="12" t="str">
        <f t="shared" si="2"/>
        <v/>
      </c>
      <c r="K26" s="12" t="str">
        <f t="shared" si="3"/>
        <v/>
      </c>
    </row>
    <row r="27" spans="1:11" ht="15">
      <c r="A27" s="15"/>
      <c r="B27" s="9"/>
      <c r="C27" s="10" t="str">
        <f>IF(B27="","",VLOOKUP(B27,'Lookup Data'!$A$14:$C$22,2,FALSE))</f>
        <v/>
      </c>
      <c r="D27" s="9"/>
      <c r="E27" s="10" t="str">
        <f>IF(B27="","",VLOOKUP(B27,'Lookup Data'!$A$14:$C$23,3,FALSE))</f>
        <v/>
      </c>
      <c r="F27" s="10" t="str">
        <f>IF(D27="","",VLOOKUP(D27,'Lookup Data'!$A$3:$B$6,2,FALSE))</f>
        <v/>
      </c>
      <c r="G27" s="11"/>
      <c r="H27" s="12" t="str">
        <f t="shared" si="0"/>
        <v/>
      </c>
      <c r="I27" s="12" t="str">
        <f t="shared" si="1"/>
        <v/>
      </c>
      <c r="J27" s="12" t="str">
        <f t="shared" si="2"/>
        <v/>
      </c>
      <c r="K27" s="12" t="str">
        <f t="shared" si="3"/>
        <v/>
      </c>
    </row>
    <row r="28" spans="1:11" ht="15">
      <c r="A28" s="13"/>
      <c r="B28" s="13"/>
      <c r="C28" s="13"/>
      <c r="D28" s="13"/>
      <c r="E28" s="13"/>
      <c r="F28" s="13"/>
      <c r="G28" s="14">
        <f>SUM(G8:G27)</f>
        <v>2449</v>
      </c>
      <c r="H28" s="14">
        <f>SUM(H8:H27)</f>
        <v>325</v>
      </c>
      <c r="I28" s="14">
        <f>SUM(I8:I27)</f>
        <v>439</v>
      </c>
      <c r="J28" s="14">
        <f>SUM(J8:J27)</f>
        <v>445</v>
      </c>
      <c r="K28" s="14">
        <f>SUM(K8:K27)</f>
        <v>1240</v>
      </c>
    </row>
    <row r="31" spans="1:11">
      <c r="D31" s="25" t="s">
        <v>59</v>
      </c>
      <c r="E31" s="26"/>
      <c r="F31" s="26"/>
      <c r="G31" s="26"/>
      <c r="H31" s="26"/>
      <c r="I31" s="26"/>
      <c r="J31" s="26"/>
      <c r="K31" s="27"/>
    </row>
    <row r="32" spans="1:11">
      <c r="D32" s="28"/>
      <c r="E32" s="29"/>
      <c r="F32" s="29"/>
      <c r="G32" s="29"/>
      <c r="H32" s="29"/>
      <c r="I32" s="29"/>
      <c r="J32" s="29"/>
      <c r="K32" s="30"/>
    </row>
    <row r="33" spans="1:11" ht="28.5" customHeight="1">
      <c r="A33" s="21" t="s">
        <v>54</v>
      </c>
      <c r="B33" s="21"/>
      <c r="C33" s="21"/>
      <c r="D33" s="22"/>
      <c r="E33" s="22"/>
      <c r="F33" s="22"/>
      <c r="G33" s="22"/>
      <c r="H33" s="22"/>
      <c r="I33" s="22"/>
      <c r="J33" s="22"/>
      <c r="K33" s="22"/>
    </row>
    <row r="34" spans="1:11" ht="15">
      <c r="A34" s="10" t="s">
        <v>55</v>
      </c>
      <c r="B34" s="10" t="s">
        <v>12</v>
      </c>
      <c r="C34" s="16">
        <f>SUMIF($D$8:$D$27,"EM",$G$8:$G$27)</f>
        <v>325</v>
      </c>
      <c r="D34" s="22"/>
      <c r="E34" s="22"/>
      <c r="F34" s="22"/>
      <c r="G34" s="22"/>
      <c r="H34" s="22"/>
      <c r="I34" s="22"/>
      <c r="J34" s="22"/>
      <c r="K34" s="22"/>
    </row>
    <row r="35" spans="1:11" ht="15">
      <c r="A35" s="17"/>
      <c r="B35" s="10" t="s">
        <v>56</v>
      </c>
      <c r="C35" s="14">
        <f>SUMIF($D$8:$D$27,"EK",$G$8:$G$27)</f>
        <v>439</v>
      </c>
      <c r="D35" s="22"/>
      <c r="E35" s="22"/>
      <c r="F35" s="22"/>
      <c r="G35" s="22"/>
      <c r="H35" s="22"/>
      <c r="I35" s="22"/>
      <c r="J35" s="22"/>
      <c r="K35" s="22"/>
    </row>
    <row r="36" spans="1:11" ht="15">
      <c r="A36" s="17"/>
      <c r="B36" s="10" t="s">
        <v>57</v>
      </c>
      <c r="C36" s="14">
        <f>SUMIF($D$8:$D$27,"EA",$G$8:$G$27)</f>
        <v>445</v>
      </c>
      <c r="D36" s="22"/>
      <c r="E36" s="22"/>
      <c r="F36" s="22"/>
      <c r="G36" s="22"/>
      <c r="H36" s="22"/>
      <c r="I36" s="22"/>
      <c r="J36" s="22"/>
      <c r="K36" s="22"/>
    </row>
    <row r="37" spans="1:11" ht="15">
      <c r="A37" s="17"/>
      <c r="B37" s="10" t="s">
        <v>58</v>
      </c>
      <c r="C37" s="14">
        <f>SUMIF($D$8:$D$27,"EF",$G$8:$G$27)</f>
        <v>1240</v>
      </c>
      <c r="D37" s="22"/>
      <c r="E37" s="22"/>
      <c r="F37" s="22"/>
      <c r="G37" s="22"/>
      <c r="H37" s="22"/>
      <c r="I37" s="22"/>
      <c r="J37" s="22"/>
      <c r="K37" s="22"/>
    </row>
    <row r="38" spans="1:11" ht="15">
      <c r="A38" s="17"/>
      <c r="B38" s="17"/>
      <c r="C38" s="17"/>
      <c r="D38" s="22"/>
      <c r="E38" s="22"/>
      <c r="F38" s="22"/>
      <c r="G38" s="22"/>
      <c r="H38" s="22"/>
      <c r="I38" s="22"/>
      <c r="J38" s="22"/>
      <c r="K38" s="22"/>
    </row>
    <row r="39" spans="1:11" ht="15">
      <c r="A39" s="18" t="s">
        <v>42</v>
      </c>
      <c r="B39" s="10" t="s">
        <v>44</v>
      </c>
      <c r="C39" s="14">
        <f>SUMIF($E$8:$E$27,"Sales",$G$8:$G$27)</f>
        <v>1005</v>
      </c>
      <c r="D39" s="22"/>
      <c r="E39" s="22"/>
      <c r="F39" s="22"/>
      <c r="G39" s="22"/>
      <c r="H39" s="22"/>
      <c r="I39" s="22"/>
      <c r="J39" s="22"/>
      <c r="K39" s="22"/>
    </row>
    <row r="40" spans="1:11" ht="15">
      <c r="A40" s="17"/>
      <c r="B40" s="10" t="s">
        <v>50</v>
      </c>
      <c r="C40" s="14">
        <f>SUMIF($E$8:$E$27,"Advertising",$G$8:$G$27)</f>
        <v>455</v>
      </c>
      <c r="D40" s="22"/>
      <c r="E40" s="22"/>
      <c r="F40" s="22"/>
      <c r="G40" s="22"/>
      <c r="H40" s="22"/>
      <c r="I40" s="22"/>
      <c r="J40" s="22"/>
      <c r="K40" s="22"/>
    </row>
    <row r="41" spans="1:11" ht="15">
      <c r="A41" s="17"/>
      <c r="B41" s="10" t="s">
        <v>47</v>
      </c>
      <c r="C41" s="14">
        <f>SUMIF($E$8:$E$27,"HR",$G$8:$G$27)</f>
        <v>755</v>
      </c>
      <c r="D41" s="22"/>
      <c r="E41" s="22"/>
      <c r="F41" s="22"/>
      <c r="G41" s="22"/>
      <c r="H41" s="22"/>
      <c r="I41" s="22"/>
      <c r="J41" s="22"/>
      <c r="K41" s="22"/>
    </row>
    <row r="42" spans="1:11" ht="15">
      <c r="A42" s="17"/>
      <c r="B42" s="10" t="s">
        <v>53</v>
      </c>
      <c r="C42" s="14">
        <f>SUMIF($E$8:$E$27,"Finance",$G$8:$G$27)</f>
        <v>234</v>
      </c>
      <c r="D42" s="22"/>
      <c r="E42" s="22"/>
      <c r="F42" s="22"/>
      <c r="G42" s="22"/>
      <c r="H42" s="22"/>
      <c r="I42" s="22"/>
      <c r="J42" s="22"/>
      <c r="K42" s="22"/>
    </row>
    <row r="43" spans="1:11" ht="15">
      <c r="A43" s="1"/>
      <c r="B43" s="1"/>
      <c r="C43" s="1"/>
      <c r="D43" s="22"/>
      <c r="E43" s="22"/>
      <c r="F43" s="22"/>
      <c r="G43" s="22"/>
      <c r="H43" s="22"/>
      <c r="I43" s="22"/>
      <c r="J43" s="22"/>
      <c r="K43" s="22"/>
    </row>
    <row r="44" spans="1:11" ht="15">
      <c r="A44" s="1"/>
      <c r="B44" s="1"/>
      <c r="C44" s="1"/>
      <c r="D44" s="22"/>
      <c r="E44" s="22"/>
      <c r="F44" s="22"/>
      <c r="G44" s="22"/>
      <c r="H44" s="22"/>
      <c r="I44" s="22"/>
      <c r="J44" s="22"/>
      <c r="K44" s="22"/>
    </row>
    <row r="45" spans="1:11" ht="15">
      <c r="A45" s="1"/>
      <c r="B45" s="1"/>
      <c r="C45" s="1"/>
      <c r="D45" s="22"/>
      <c r="E45" s="22"/>
      <c r="F45" s="22"/>
      <c r="G45" s="22"/>
      <c r="H45" s="22"/>
      <c r="I45" s="22"/>
      <c r="J45" s="22"/>
      <c r="K45" s="22"/>
    </row>
    <row r="46" spans="1:11" ht="15">
      <c r="A46" s="1"/>
      <c r="B46" s="1"/>
      <c r="C46" s="1"/>
      <c r="D46" s="22"/>
      <c r="E46" s="22"/>
      <c r="F46" s="22"/>
      <c r="G46" s="22"/>
      <c r="H46" s="22"/>
      <c r="I46" s="22"/>
      <c r="J46" s="22"/>
      <c r="K46" s="22"/>
    </row>
    <row r="47" spans="1:11">
      <c r="D47" s="22"/>
      <c r="E47" s="22"/>
      <c r="F47" s="22"/>
      <c r="G47" s="22"/>
      <c r="H47" s="22"/>
      <c r="I47" s="22"/>
      <c r="J47" s="22"/>
      <c r="K47" s="22"/>
    </row>
    <row r="48" spans="1:11">
      <c r="D48" s="22"/>
      <c r="E48" s="22"/>
      <c r="F48" s="22"/>
      <c r="G48" s="22"/>
      <c r="H48" s="22"/>
      <c r="I48" s="22"/>
      <c r="J48" s="22"/>
      <c r="K48" s="22"/>
    </row>
    <row r="49" spans="4:11">
      <c r="D49" s="22"/>
      <c r="E49" s="22"/>
      <c r="F49" s="22"/>
      <c r="G49" s="22"/>
      <c r="H49" s="22"/>
      <c r="I49" s="22"/>
      <c r="J49" s="22"/>
      <c r="K49" s="22"/>
    </row>
    <row r="50" spans="4:11">
      <c r="D50" s="22"/>
      <c r="E50" s="22"/>
      <c r="F50" s="22"/>
      <c r="G50" s="22"/>
      <c r="H50" s="22"/>
      <c r="I50" s="22"/>
      <c r="J50" s="22"/>
      <c r="K50" s="22"/>
    </row>
    <row r="51" spans="4:11">
      <c r="D51" s="22"/>
      <c r="E51" s="22"/>
      <c r="F51" s="22"/>
      <c r="G51" s="22"/>
      <c r="H51" s="22"/>
      <c r="I51" s="22"/>
      <c r="J51" s="22"/>
      <c r="K51" s="22"/>
    </row>
    <row r="52" spans="4:11">
      <c r="D52" s="22"/>
      <c r="E52" s="22"/>
      <c r="F52" s="22"/>
      <c r="G52" s="22"/>
      <c r="H52" s="22"/>
      <c r="I52" s="22"/>
      <c r="J52" s="22"/>
      <c r="K52" s="22"/>
    </row>
    <row r="53" spans="4:11">
      <c r="D53" s="22"/>
      <c r="E53" s="22"/>
      <c r="F53" s="22"/>
      <c r="G53" s="22"/>
      <c r="H53" s="22"/>
      <c r="I53" s="22"/>
      <c r="J53" s="22"/>
      <c r="K53" s="22"/>
    </row>
    <row r="54" spans="4:11">
      <c r="D54" s="22"/>
      <c r="E54" s="22"/>
      <c r="F54" s="22"/>
      <c r="G54" s="22"/>
      <c r="H54" s="22"/>
      <c r="I54" s="22"/>
      <c r="J54" s="22"/>
      <c r="K54" s="22"/>
    </row>
  </sheetData>
  <sheetProtection insertRows="0" deleteRows="0"/>
  <mergeCells count="8">
    <mergeCell ref="A33:C33"/>
    <mergeCell ref="D33:K54"/>
    <mergeCell ref="G6:K6"/>
    <mergeCell ref="D31:K32"/>
    <mergeCell ref="A1:K3"/>
    <mergeCell ref="A4:K4"/>
    <mergeCell ref="A5:E6"/>
    <mergeCell ref="G5:K5"/>
  </mergeCells>
  <pageMargins left="0.70866141732283472" right="0.70866141732283472" top="0.74803149606299213" bottom="0.74803149606299213" header="0.31496062992125984" footer="0.31496062992125984"/>
  <pageSetup scale="55" orientation="landscape" r:id="rId1"/>
  <headerFooter>
    <oddFooter>&amp;LKylie Hutchinson&amp;CPrinted Date &amp;D&amp;RExpense claim summary_24052024_v1.xlsm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A41BCFDA-C00F-4DD7-A7EE-97124BE8B4B6}">
          <x14:formula1>
            <xm:f>'Lookup Data'!$A$3:$A$6</xm:f>
          </x14:formula1>
          <xm:sqref>D8:D27</xm:sqref>
        </x14:dataValidation>
        <x14:dataValidation type="list" allowBlank="1" showInputMessage="1" showErrorMessage="1" xr:uid="{5D575F72-BB93-4556-BDE8-FA3E23A787F8}">
          <x14:formula1>
            <xm:f>'Lookup Data'!$A$14:$A$23</xm:f>
          </x14:formula1>
          <xm:sqref>B8:B27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D073C-92B0-4DB0-9E74-6AF020B3247F}">
  <sheetPr codeName="Sheet4">
    <pageSetUpPr fitToPage="1"/>
  </sheetPr>
  <dimension ref="A1"/>
  <sheetViews>
    <sheetView workbookViewId="0">
      <selection activeCell="P32" sqref="P32"/>
    </sheetView>
  </sheetViews>
  <sheetFormatPr defaultRowHeight="14.25"/>
  <sheetData/>
  <pageMargins left="0.70866141732283472" right="0.70866141732283472" top="0.74803149606299213" bottom="0.74803149606299213" header="0.31496062992125984" footer="0.31496062992125984"/>
  <pageSetup scale="59" orientation="landscape" r:id="rId1"/>
  <headerFooter>
    <oddFooter>&amp;LKylie Hutchinson&amp;CPrinted Date &amp;D&amp;RExpense claim summary_24052024_v1.xlsm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711E1-261C-48BD-83BC-EF9E88F432E7}">
  <sheetPr codeName="Sheet3"/>
  <dimension ref="A1:C23"/>
  <sheetViews>
    <sheetView workbookViewId="0">
      <selection activeCell="D29" sqref="D29"/>
    </sheetView>
  </sheetViews>
  <sheetFormatPr defaultRowHeight="14.25"/>
  <cols>
    <col min="1" max="1" width="15.25" customWidth="1"/>
    <col min="2" max="2" width="35.875" customWidth="1"/>
    <col min="3" max="3" width="11.75" customWidth="1"/>
  </cols>
  <sheetData>
    <row r="1" spans="1:3" ht="15">
      <c r="A1" s="2" t="s">
        <v>36</v>
      </c>
      <c r="B1" s="2"/>
    </row>
    <row r="2" spans="1:3" ht="15">
      <c r="A2" s="2" t="s">
        <v>8</v>
      </c>
      <c r="B2" s="2" t="s">
        <v>37</v>
      </c>
    </row>
    <row r="3" spans="1:3">
      <c r="A3" t="s">
        <v>32</v>
      </c>
      <c r="B3" t="s">
        <v>38</v>
      </c>
    </row>
    <row r="4" spans="1:3">
      <c r="A4" t="s">
        <v>35</v>
      </c>
      <c r="B4" t="s">
        <v>39</v>
      </c>
    </row>
    <row r="5" spans="1:3">
      <c r="A5" t="s">
        <v>33</v>
      </c>
      <c r="B5" t="s">
        <v>15</v>
      </c>
    </row>
    <row r="6" spans="1:3">
      <c r="A6" t="s">
        <v>34</v>
      </c>
      <c r="B6" t="s">
        <v>40</v>
      </c>
    </row>
    <row r="13" spans="1:3" ht="15">
      <c r="A13" s="2" t="s">
        <v>6</v>
      </c>
      <c r="B13" s="2" t="s">
        <v>41</v>
      </c>
      <c r="C13" s="2" t="s">
        <v>42</v>
      </c>
    </row>
    <row r="14" spans="1:3">
      <c r="A14" s="3" t="s">
        <v>25</v>
      </c>
      <c r="B14" s="3" t="s">
        <v>43</v>
      </c>
      <c r="C14" s="4" t="s">
        <v>44</v>
      </c>
    </row>
    <row r="15" spans="1:3">
      <c r="A15" s="3" t="s">
        <v>26</v>
      </c>
      <c r="B15" s="3" t="s">
        <v>45</v>
      </c>
      <c r="C15" s="4" t="s">
        <v>44</v>
      </c>
    </row>
    <row r="16" spans="1:3">
      <c r="A16" s="3" t="s">
        <v>27</v>
      </c>
      <c r="B16" s="3" t="s">
        <v>46</v>
      </c>
      <c r="C16" s="4" t="s">
        <v>47</v>
      </c>
    </row>
    <row r="17" spans="1:3">
      <c r="A17" s="3" t="s">
        <v>28</v>
      </c>
      <c r="B17" s="3" t="s">
        <v>48</v>
      </c>
      <c r="C17" s="4" t="s">
        <v>44</v>
      </c>
    </row>
    <row r="18" spans="1:3">
      <c r="A18" s="3" t="s">
        <v>29</v>
      </c>
      <c r="B18" s="3" t="s">
        <v>49</v>
      </c>
      <c r="C18" s="4" t="s">
        <v>50</v>
      </c>
    </row>
    <row r="19" spans="1:3">
      <c r="A19" s="3" t="s">
        <v>27</v>
      </c>
      <c r="B19" s="3" t="s">
        <v>46</v>
      </c>
      <c r="C19" s="4" t="s">
        <v>47</v>
      </c>
    </row>
    <row r="20" spans="1:3">
      <c r="A20" s="3" t="s">
        <v>29</v>
      </c>
      <c r="B20" s="3" t="s">
        <v>49</v>
      </c>
      <c r="C20" s="4" t="s">
        <v>50</v>
      </c>
    </row>
    <row r="21" spans="1:3">
      <c r="A21" s="3" t="s">
        <v>30</v>
      </c>
      <c r="B21" s="3" t="s">
        <v>51</v>
      </c>
      <c r="C21" s="4" t="s">
        <v>50</v>
      </c>
    </row>
    <row r="22" spans="1:3">
      <c r="A22" s="3" t="s">
        <v>31</v>
      </c>
      <c r="B22" s="3" t="s">
        <v>52</v>
      </c>
      <c r="C22" s="4" t="s">
        <v>53</v>
      </c>
    </row>
    <row r="23" spans="1:3">
      <c r="A23" s="4"/>
      <c r="B23" s="4"/>
      <c r="C23" s="4"/>
    </row>
  </sheetData>
  <pageMargins left="0.7" right="0.7" top="0.75" bottom="0.75" header="0.3" footer="0.3"/>
  <pageSetup orientation="portrait" r:id="rId1"/>
  <headerFooter>
    <oddFooter>&amp;LKylie Hutchinson&amp;CPrinted Date &amp;D&amp;RExpense claim summary_24052024_v1.xlsm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1FF35-37A9-41A4-B6BA-A19B37968D8F}">
  <sheetPr codeName="Sheet2">
    <pageSetUpPr fitToPage="1"/>
  </sheetPr>
  <dimension ref="A1:U32"/>
  <sheetViews>
    <sheetView zoomScaleNormal="100" workbookViewId="0">
      <selection activeCell="O17" sqref="O17"/>
    </sheetView>
  </sheetViews>
  <sheetFormatPr defaultRowHeight="14.25"/>
  <cols>
    <col min="14" max="14" width="18" customWidth="1"/>
    <col min="15" max="15" width="28.375" customWidth="1"/>
    <col min="16" max="16" width="23.875" customWidth="1"/>
  </cols>
  <sheetData>
    <row r="1" spans="1:21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</row>
    <row r="2" spans="1:21">
      <c r="A2" s="46"/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</row>
    <row r="3" spans="1:21">
      <c r="A3" s="46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</row>
    <row r="4" spans="1:21">
      <c r="A4" s="46"/>
      <c r="B4" s="46"/>
      <c r="C4" s="46"/>
      <c r="D4" s="46"/>
      <c r="E4" s="46"/>
      <c r="F4" s="46"/>
      <c r="G4" s="46"/>
      <c r="H4" s="46"/>
      <c r="I4" s="46"/>
      <c r="J4" s="46"/>
      <c r="K4" s="46"/>
      <c r="L4" s="46"/>
    </row>
    <row r="5" spans="1:21" ht="15.75">
      <c r="A5" s="46"/>
      <c r="B5" s="46"/>
      <c r="C5" s="46"/>
      <c r="D5" s="46"/>
      <c r="E5" s="46"/>
      <c r="F5" s="46"/>
      <c r="G5" s="46"/>
      <c r="H5" s="46"/>
      <c r="I5" s="46"/>
      <c r="J5" s="46"/>
      <c r="K5" s="46"/>
      <c r="L5" s="46"/>
      <c r="N5" s="5" t="s">
        <v>16</v>
      </c>
      <c r="O5" s="5" t="s">
        <v>17</v>
      </c>
      <c r="P5" s="5" t="s">
        <v>18</v>
      </c>
    </row>
    <row r="6" spans="1:21" ht="1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N6" s="6" t="s">
        <v>19</v>
      </c>
      <c r="O6" s="6" t="s">
        <v>22</v>
      </c>
      <c r="P6" s="6">
        <v>78</v>
      </c>
    </row>
    <row r="7" spans="1:21" ht="1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N7" s="6" t="s">
        <v>20</v>
      </c>
      <c r="O7" s="6" t="s">
        <v>22</v>
      </c>
      <c r="P7" s="6">
        <v>78</v>
      </c>
    </row>
    <row r="8" spans="1:21" ht="1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N8" s="6" t="s">
        <v>21</v>
      </c>
      <c r="O8" s="6" t="s">
        <v>22</v>
      </c>
      <c r="P8" s="6">
        <v>98</v>
      </c>
    </row>
    <row r="9" spans="1:21" ht="1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N9" s="6" t="s">
        <v>19</v>
      </c>
      <c r="O9" s="6" t="s">
        <v>23</v>
      </c>
      <c r="P9" s="6">
        <v>90</v>
      </c>
    </row>
    <row r="10" spans="1:21" ht="1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N10" s="6" t="s">
        <v>21</v>
      </c>
      <c r="O10" s="6" t="s">
        <v>23</v>
      </c>
      <c r="P10" s="6">
        <v>67</v>
      </c>
    </row>
    <row r="11" spans="1:21" ht="1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N11" s="6" t="s">
        <v>20</v>
      </c>
      <c r="O11" s="6" t="s">
        <v>23</v>
      </c>
      <c r="P11" s="6">
        <v>45</v>
      </c>
    </row>
    <row r="12" spans="1:21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</row>
    <row r="13" spans="1:21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</row>
    <row r="14" spans="1:21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</row>
    <row r="15" spans="1:21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P15" s="22"/>
      <c r="Q15" s="22"/>
      <c r="R15" s="22"/>
      <c r="S15" s="22"/>
      <c r="T15" s="22"/>
      <c r="U15" s="22"/>
    </row>
    <row r="16" spans="1:21" ht="15.7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N16" s="5" t="s">
        <v>16</v>
      </c>
      <c r="O16" s="5" t="s">
        <v>24</v>
      </c>
      <c r="P16" s="22"/>
      <c r="Q16" s="22"/>
      <c r="R16" s="22"/>
      <c r="S16" s="22"/>
      <c r="T16" s="22"/>
      <c r="U16" s="22"/>
    </row>
    <row r="17" spans="1:21" ht="1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N17" s="6" t="s">
        <v>19</v>
      </c>
      <c r="O17" s="6">
        <f>SUMIF($N$6:$N$11,"John",$P$6:$P$11)</f>
        <v>168</v>
      </c>
      <c r="P17" s="22"/>
      <c r="Q17" s="22"/>
      <c r="R17" s="22"/>
      <c r="S17" s="22"/>
      <c r="T17" s="22"/>
      <c r="U17" s="22"/>
    </row>
    <row r="18" spans="1:21" ht="1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N18" s="6" t="s">
        <v>20</v>
      </c>
      <c r="O18" s="6">
        <f>SUMIF($N$6:$N$11,"Jasmine",$P$6:$P$11)</f>
        <v>123</v>
      </c>
      <c r="P18" s="22"/>
      <c r="Q18" s="22"/>
      <c r="R18" s="22"/>
      <c r="S18" s="22"/>
      <c r="T18" s="22"/>
      <c r="U18" s="22"/>
    </row>
    <row r="19" spans="1:21" ht="1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N19" s="6" t="s">
        <v>21</v>
      </c>
      <c r="O19" s="6">
        <f>SUMIF($N$6:$N$11,"Eva",$P$6:$P$11)</f>
        <v>165</v>
      </c>
      <c r="P19" s="22"/>
      <c r="Q19" s="22"/>
      <c r="R19" s="22"/>
      <c r="S19" s="22"/>
      <c r="T19" s="22"/>
      <c r="U19" s="22"/>
    </row>
    <row r="20" spans="1:21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P20" s="22"/>
      <c r="Q20" s="22"/>
      <c r="R20" s="22"/>
      <c r="S20" s="22"/>
      <c r="T20" s="22"/>
      <c r="U20" s="22"/>
    </row>
    <row r="21" spans="1:21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P21" s="22"/>
      <c r="Q21" s="22"/>
      <c r="R21" s="22"/>
      <c r="S21" s="22"/>
      <c r="T21" s="22"/>
      <c r="U21" s="22"/>
    </row>
    <row r="22" spans="1:21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P22" s="22"/>
      <c r="Q22" s="22"/>
      <c r="R22" s="22"/>
      <c r="S22" s="22"/>
      <c r="T22" s="22"/>
      <c r="U22" s="22"/>
    </row>
    <row r="23" spans="1:21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P23" s="22"/>
      <c r="Q23" s="22"/>
      <c r="R23" s="22"/>
      <c r="S23" s="22"/>
      <c r="T23" s="22"/>
      <c r="U23" s="22"/>
    </row>
    <row r="24" spans="1:21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P24" s="22"/>
      <c r="Q24" s="22"/>
      <c r="R24" s="22"/>
      <c r="S24" s="22"/>
      <c r="T24" s="22"/>
      <c r="U24" s="22"/>
    </row>
    <row r="25" spans="1:21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P25" s="22"/>
      <c r="Q25" s="22"/>
      <c r="R25" s="22"/>
      <c r="S25" s="22"/>
      <c r="T25" s="22"/>
      <c r="U25" s="22"/>
    </row>
    <row r="27" spans="1:21">
      <c r="A27" s="47" t="s">
        <v>60</v>
      </c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</row>
    <row r="28" spans="1:2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</row>
    <row r="29" spans="1:2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</row>
    <row r="30" spans="1:2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</row>
    <row r="31" spans="1:2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</row>
    <row r="32" spans="1:2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</row>
  </sheetData>
  <mergeCells count="3">
    <mergeCell ref="A1:L25"/>
    <mergeCell ref="P15:U25"/>
    <mergeCell ref="A27:U32"/>
  </mergeCells>
  <pageMargins left="0.70866141732283472" right="0.70866141732283472" top="0.74803149606299213" bottom="0.74803149606299213" header="0.31496062992125984" footer="0.31496062992125984"/>
  <pageSetup scale="48" orientation="landscape" r:id="rId1"/>
  <headerFooter>
    <oddFooter>&amp;LKylie Hutchinson&amp;CPrinted Date &amp;D&amp;RExpense claim summary_24052024_v1.xlsm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 Expense Claims</vt:lpstr>
      <vt:lpstr>Macro Image</vt:lpstr>
      <vt:lpstr>Lookup Data</vt:lpstr>
      <vt:lpstr>SUMIF Help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sonali kubde</dc:creator>
  <cp:lastModifiedBy>sonali kubde</cp:lastModifiedBy>
  <cp:lastPrinted>2024-05-22T06:27:16Z</cp:lastPrinted>
  <dcterms:created xsi:type="dcterms:W3CDTF">2024-05-15T20:40:39Z</dcterms:created>
  <dcterms:modified xsi:type="dcterms:W3CDTF">2024-05-22T16:42:35Z</dcterms:modified>
</cp:coreProperties>
</file>